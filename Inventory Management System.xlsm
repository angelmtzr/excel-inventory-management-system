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gel/Downloads/"/>
    </mc:Choice>
  </mc:AlternateContent>
  <xr:revisionPtr revIDLastSave="0" documentId="13_ncr:1_{6EB884C5-2EE5-D446-9334-43B0AB0E7067}" xr6:coauthVersionLast="47" xr6:coauthVersionMax="47" xr10:uidLastSave="{00000000-0000-0000-0000-000000000000}"/>
  <workbookProtection workbookAlgorithmName="SHA-512" workbookHashValue="ht4UaUk2QwvHVWUbEVJQJEBZ2sELs0F9TZG9gL6ngbK6uaGqdj6DWSz6E/FNkBSWlHku8sSPS9OF2l78cTWzgw==" workbookSaltValue="YBPiaQxYq7TZwmqQIe7NLA==" workbookSpinCount="100000" lockStructure="1"/>
  <bookViews>
    <workbookView xWindow="0" yWindow="0" windowWidth="28800" windowHeight="18000" xr2:uid="{221019BB-59A9-AF40-AEA4-4011FEA3B3CA}"/>
  </bookViews>
  <sheets>
    <sheet name="Home" sheetId="1" r:id="rId1"/>
    <sheet name="Add Category" sheetId="2" state="veryHidden" r:id="rId2"/>
    <sheet name="Edit Category" sheetId="6" state="veryHidden" r:id="rId3"/>
    <sheet name="Delete Category" sheetId="7" state="veryHidden" r:id="rId4"/>
    <sheet name="Add Product" sheetId="8" state="veryHidden" r:id="rId5"/>
    <sheet name="Edit Product" sheetId="9" state="veryHidden" r:id="rId6"/>
    <sheet name="Delete Product" sheetId="10" state="veryHidden" r:id="rId7"/>
    <sheet name="Aux" sheetId="5" state="veryHidden" r:id="rId8"/>
  </sheets>
  <functionGroups builtInGroupCount="19"/>
  <definedNames>
    <definedName name="_xlnm._FilterDatabase" localSheetId="7" hidden="1">Aux!$F$1:$K$24</definedName>
    <definedName name="CAT_COUNT_ID">Aux!$A$2</definedName>
    <definedName name="CAT_DB">Aux!$C$1:$D$13</definedName>
    <definedName name="CAT_DB_HEAD">Aux!$C$1:$D$1</definedName>
    <definedName name="CAT_DB_START">Aux!$C$1</definedName>
    <definedName name="CAT_DELETE" localSheetId="3">'Delete Category'!$C$3</definedName>
    <definedName name="CAT_EDIT_NEW">'Edit Category'!$C$5</definedName>
    <definedName name="CAT_EDIT_OLD" localSheetId="2">'Edit Category'!$C$3</definedName>
    <definedName name="CAT_IDS">Aux!$C$2:$C$13</definedName>
    <definedName name="CAT_NEW">'Add Category'!$C$3</definedName>
    <definedName name="CATS">Aux!$D$2:$D$13</definedName>
    <definedName name="_xlnm.Criteria" localSheetId="7">Aux!$M$1:$M$2</definedName>
    <definedName name="_xlnm.Extract" localSheetId="7">Aux!$O$1</definedName>
    <definedName name="PROD_COUNT_ID">Aux!$A$5</definedName>
    <definedName name="PROD_DB">Aux!$F$1:$K$24</definedName>
    <definedName name="PROD_DB_HEAD">Aux!$F$1:$K$1</definedName>
    <definedName name="PROD_DB_START">Aux!$F$1</definedName>
    <definedName name="PROD_DELETE_CAT">'Delete Product'!$C$3</definedName>
    <definedName name="PROD_DELETE_NAME">'Delete Product'!$C$5</definedName>
    <definedName name="PROD_EDIT_CAT">'Edit Product'!$D$3</definedName>
    <definedName name="PROD_EDIT_CURRENT">'Edit Product'!$D$6,'Edit Product'!$D$7,'Edit Product'!$C$9</definedName>
    <definedName name="PROD_EDIT_CURRENT_COST">'Edit Product'!$D$6</definedName>
    <definedName name="PROD_EDIT_CURRENT_DES">'Edit Product'!$C$9:$D$14</definedName>
    <definedName name="PROD_EDIT_CURRENT_PRICE">'Edit Product'!$D$7</definedName>
    <definedName name="PROD_EDIT_INFO">'Edit Product'!$C$17:$H$17</definedName>
    <definedName name="PROD_EDIT_NAME">'Edit Product'!$D$4</definedName>
    <definedName name="PROD_EDIT_NEW">'Edit Product'!$E$3,'Edit Product'!$E$4,'Edit Product'!$E$6,'Edit Product'!$E$7,'Edit Product'!$E$9</definedName>
    <definedName name="PROD_EDIT_NEW_CAT">'Edit Product'!$E$3</definedName>
    <definedName name="PROD_EDIT_NEW_NAME">'Edit Product'!$E$4</definedName>
    <definedName name="PROD_IDS">Aux!$F$2:$F$24</definedName>
    <definedName name="PROD_NEW_CAT">'Add Product'!$C$3</definedName>
    <definedName name="PROD_NEW_INFO">'Add Product'!$A$15:$F$15</definedName>
    <definedName name="PROD_NEW_INPUTS">'Add Product'!$C$3:$C$4,'Add Product'!$E$3,'Add Product'!$E$4,'Add Product'!$B$7:$D$12</definedName>
    <definedName name="PROD_NEW_NAME">'Add Product'!$C$4</definedName>
    <definedName name="PROD_SELECTED_ID">Aux!$Q$2</definedName>
    <definedName name="PRODS">Aux!$H$2:$H$24</definedName>
    <definedName name="PRODS_CRIT">Aux!$M$1:$M$2</definedName>
    <definedName name="PRODS_CRIT_CAT">Aux!$M$2</definedName>
    <definedName name="PRODS_FILTERED">Aux!$O$2:$O$3</definedName>
    <definedName name="PRODS_PASTE">Aux!$O$1</definedName>
    <definedName name="TITLE">Home!$A$1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7" i="9" l="1"/>
  <c r="G17" i="9"/>
  <c r="C17" i="9"/>
  <c r="F17" i="9"/>
  <c r="E17" i="9"/>
  <c r="O1" i="5"/>
  <c r="D15" i="8"/>
  <c r="C15" i="8"/>
  <c r="F14" i="8"/>
  <c r="E14" i="8"/>
  <c r="D14" i="8"/>
  <c r="C14" i="8"/>
  <c r="B14" i="8"/>
  <c r="B15" i="8"/>
  <c r="F15" i="8"/>
  <c r="E15" i="8"/>
  <c r="A15" i="8"/>
</calcChain>
</file>

<file path=xl/sharedStrings.xml><?xml version="1.0" encoding="utf-8"?>
<sst xmlns="http://schemas.openxmlformats.org/spreadsheetml/2006/main" count="105" uniqueCount="85">
  <si>
    <t>id</t>
  </si>
  <si>
    <t>category</t>
  </si>
  <si>
    <t>product</t>
  </si>
  <si>
    <t>cost</t>
  </si>
  <si>
    <t>price</t>
  </si>
  <si>
    <t>description</t>
  </si>
  <si>
    <t>ID</t>
  </si>
  <si>
    <t>cat_id</t>
  </si>
  <si>
    <t>prod_id</t>
  </si>
  <si>
    <t>ELECTRONICOS</t>
  </si>
  <si>
    <t>FRUTAS Y VERDURAS</t>
  </si>
  <si>
    <t>LIMPIEZA Y HOGAR</t>
  </si>
  <si>
    <t>VINOS Y LICORES</t>
  </si>
  <si>
    <t>NOKIA LUMIA</t>
  </si>
  <si>
    <t>Orgánicas y buenas para la salud. Buen aporte vitamínico.</t>
  </si>
  <si>
    <t>Teléfono revolucionario con tecnología Light Speed.</t>
  </si>
  <si>
    <t>TEQUILA MAESTRO DOBEL</t>
  </si>
  <si>
    <t>Auténtico tequila 100% de agave.</t>
  </si>
  <si>
    <t>Apple iPhone de última generación. Permite el uso de 2 SIM.</t>
  </si>
  <si>
    <t>Bolsa con 5 manzanas. Deliciosas y excelentes para compartir.</t>
  </si>
  <si>
    <t>Limpiador para superficies.</t>
  </si>
  <si>
    <t>Líquido para lavar trastes. Excelente calidad.</t>
  </si>
  <si>
    <t>JÄGERMEISTER</t>
  </si>
  <si>
    <t>Licor de hierbas endulzado, pero con un dejo amargo, el cual tiene 34,5% de contenido alcohólico.</t>
  </si>
  <si>
    <t>AUTENTICO CORAJILLO</t>
  </si>
  <si>
    <t>Bebida alcohólica lista para ser preparada. Incluye licor de hierbas y café.</t>
  </si>
  <si>
    <t>SALVO</t>
  </si>
  <si>
    <t/>
  </si>
  <si>
    <t>PINOL</t>
  </si>
  <si>
    <t>DON JULIO 70</t>
  </si>
  <si>
    <t>Es la culminación de 70 años de conocimiento, experiencia e innovación que combina la suavidad de un tequila Blanco y la complejidad de un tequila Añejo para ofrecer una experiencia de tequila completamente única.</t>
  </si>
  <si>
    <t>MANZANAS</t>
  </si>
  <si>
    <t>CALZADO</t>
  </si>
  <si>
    <t>MUSICA</t>
  </si>
  <si>
    <t>PAPELERIA</t>
  </si>
  <si>
    <t>VIOLIN CREMONA</t>
  </si>
  <si>
    <t>Violín muy bueno para principiantes.</t>
  </si>
  <si>
    <t>CAMISA VERDE</t>
  </si>
  <si>
    <t>Camisa de tela suave y de buena calidad.</t>
  </si>
  <si>
    <t>IPHONE 8</t>
  </si>
  <si>
    <t>IPHONE SE</t>
  </si>
  <si>
    <t>MÖET &amp; CHÄNDON</t>
  </si>
  <si>
    <t>TIJERAS</t>
  </si>
  <si>
    <t>Marca PaperMate. Color rojo.</t>
  </si>
  <si>
    <t>PANADERIA</t>
  </si>
  <si>
    <t>PANTALON OLD NAVY</t>
  </si>
  <si>
    <t>ESPINACAS</t>
  </si>
  <si>
    <t>Color beige y de tela tipo dockers.</t>
  </si>
  <si>
    <t>PARACETAMOL</t>
  </si>
  <si>
    <t>Una muy buena cantidad de pastillas.</t>
  </si>
  <si>
    <t>Precio accesible para todo público y de muy buena calidad. Tecnología Light Speed.</t>
  </si>
  <si>
    <t>SAMSUNG GALAXY S10</t>
  </si>
  <si>
    <t>Es muy bonito.</t>
  </si>
  <si>
    <t>FARMACEUTICA</t>
  </si>
  <si>
    <t>SUDADERA OLD NAVY</t>
  </si>
  <si>
    <t>Buena, bonita y barata!</t>
  </si>
  <si>
    <t>Ricos y sabrosos.</t>
  </si>
  <si>
    <t>CAMOTE DULCE</t>
  </si>
  <si>
    <t>CERVEZA MODELO OSCURA</t>
  </si>
  <si>
    <t>La más oscura del condado.</t>
  </si>
  <si>
    <t>PAN DE MUERTO</t>
  </si>
  <si>
    <t>Especial para el día de muertos. Compártase con la familia.</t>
  </si>
  <si>
    <t>IPHONE XS</t>
  </si>
  <si>
    <t>ROPA</t>
  </si>
  <si>
    <t>DULCERIA</t>
  </si>
  <si>
    <t>MUEBLERIA</t>
  </si>
  <si>
    <t>Categories</t>
  </si>
  <si>
    <t>Products</t>
  </si>
  <si>
    <t>Goods</t>
  </si>
  <si>
    <t>New Category</t>
  </si>
  <si>
    <t>ADD CATEGORY</t>
  </si>
  <si>
    <t>EDIT CATEGORY</t>
  </si>
  <si>
    <t>Category</t>
  </si>
  <si>
    <t>New Name</t>
  </si>
  <si>
    <t>DELETE CATEGORY</t>
  </si>
  <si>
    <t>ADD PRODUCT</t>
  </si>
  <si>
    <t>Product Name</t>
  </si>
  <si>
    <t>Acquisition cost</t>
  </si>
  <si>
    <t>Sale Price</t>
  </si>
  <si>
    <t>Description*</t>
  </si>
  <si>
    <t>Description</t>
  </si>
  <si>
    <t>EDIT PRODUCT</t>
  </si>
  <si>
    <t>Product</t>
  </si>
  <si>
    <t>DELETE PRODUCT</t>
  </si>
  <si>
    <t>INVENTORY MANAGEMENT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</si>
</sst>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6" x14ac:knownFonts="1">
    <font>
      <sz val="12"/>
      <color theme="1"/>
      <name val="Calibri"/>
      <family val="2"/>
      <scheme val="minor"/>
    </font>
    <font>
      <sz val="12"/>
      <color theme="1"/>
      <name val="Futura Medium"/>
    </font>
    <font>
      <sz val="14"/>
      <color theme="1"/>
      <name val="Futura Medium"/>
    </font>
    <font>
      <b/>
      <sz val="12"/>
      <color rgb="FF1E1A1B"/>
      <name val="Futura Medium"/>
    </font>
    <font>
      <b/>
      <sz val="14"/>
      <color theme="9" tint="-0.499984740745262"/>
      <name val="Futura Medium"/>
    </font>
    <font>
      <sz val="12"/>
      <color theme="7" tint="-0.499984740745262"/>
      <name val="Calibri"/>
      <family val="2"/>
      <scheme val="minor"/>
    </font>
    <font>
      <b/>
      <sz val="14"/>
      <color theme="7" tint="-0.499984740745262"/>
      <name val="Futura Medium"/>
    </font>
    <font>
      <sz val="14"/>
      <color theme="7" tint="-0.499984740745262"/>
      <name val="Futura Medium"/>
    </font>
    <font>
      <sz val="12"/>
      <color rgb="FF3D0607"/>
      <name val="Calibri"/>
      <family val="2"/>
      <scheme val="minor"/>
    </font>
    <font>
      <b/>
      <sz val="14"/>
      <color rgb="FF3D0607"/>
      <name val="Futura Medium"/>
    </font>
    <font>
      <sz val="14"/>
      <color rgb="FF3D0607"/>
      <name val="Futura Medium"/>
    </font>
    <font>
      <sz val="12"/>
      <color theme="1"/>
      <name val="Calibri"/>
      <family val="2"/>
      <scheme val="minor"/>
    </font>
    <font>
      <b/>
      <sz val="12"/>
      <color theme="1"/>
      <name val="Futura Medium"/>
    </font>
    <font>
      <sz val="12"/>
      <color rgb="FF1E1A1B"/>
      <name val="Futura Medium"/>
    </font>
    <font>
      <b/>
      <sz val="16"/>
      <color theme="7" tint="-0.499984740745262"/>
      <name val="Futura Medium"/>
    </font>
    <font>
      <b/>
      <sz val="14"/>
      <color rgb="FF1E1A1B"/>
      <name val="Futura Medium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37079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1E1A1B"/>
      </left>
      <right/>
      <top style="medium">
        <color rgb="FF1E1A1B"/>
      </top>
      <bottom/>
      <diagonal/>
    </border>
    <border>
      <left/>
      <right/>
      <top style="medium">
        <color rgb="FF1E1A1B"/>
      </top>
      <bottom/>
      <diagonal/>
    </border>
    <border>
      <left/>
      <right style="medium">
        <color rgb="FF1E1A1B"/>
      </right>
      <top style="medium">
        <color rgb="FF1E1A1B"/>
      </top>
      <bottom/>
      <diagonal/>
    </border>
    <border>
      <left style="medium">
        <color rgb="FF1E1A1B"/>
      </left>
      <right/>
      <top/>
      <bottom/>
      <diagonal/>
    </border>
    <border>
      <left/>
      <right style="medium">
        <color rgb="FF1E1A1B"/>
      </right>
      <top/>
      <bottom/>
      <diagonal/>
    </border>
    <border>
      <left style="medium">
        <color rgb="FF1E1A1B"/>
      </left>
      <right/>
      <top/>
      <bottom style="medium">
        <color rgb="FF1E1A1B"/>
      </bottom>
      <diagonal/>
    </border>
    <border>
      <left/>
      <right/>
      <top/>
      <bottom style="medium">
        <color rgb="FF1E1A1B"/>
      </bottom>
      <diagonal/>
    </border>
    <border>
      <left/>
      <right style="medium">
        <color rgb="FF1E1A1B"/>
      </right>
      <top/>
      <bottom style="medium">
        <color rgb="FF1E1A1B"/>
      </bottom>
      <diagonal/>
    </border>
    <border>
      <left style="medium">
        <color rgb="FF1E1A1B"/>
      </left>
      <right style="medium">
        <color rgb="FF1E1A1B"/>
      </right>
      <top style="medium">
        <color rgb="FF1E1A1B"/>
      </top>
      <bottom/>
      <diagonal/>
    </border>
    <border>
      <left style="medium">
        <color rgb="FF1E1A1B"/>
      </left>
      <right style="medium">
        <color rgb="FF1E1A1B"/>
      </right>
      <top/>
      <bottom/>
      <diagonal/>
    </border>
    <border>
      <left style="medium">
        <color rgb="FF1E1A1B"/>
      </left>
      <right style="medium">
        <color rgb="FF1E1A1B"/>
      </right>
      <top/>
      <bottom style="medium">
        <color rgb="FF1E1A1B"/>
      </bottom>
      <diagonal/>
    </border>
    <border>
      <left style="medium">
        <color rgb="FF1E1A1B"/>
      </left>
      <right style="medium">
        <color rgb="FF1E1A1B"/>
      </right>
      <top style="medium">
        <color rgb="FF1E1A1B"/>
      </top>
      <bottom style="medium">
        <color rgb="FF1E1A1B"/>
      </bottom>
      <diagonal/>
    </border>
    <border>
      <left style="medium">
        <color rgb="FF1E1A1B"/>
      </left>
      <right/>
      <top style="medium">
        <color rgb="FF1E1A1B"/>
      </top>
      <bottom style="medium">
        <color rgb="FF1E1A1B"/>
      </bottom>
      <diagonal/>
    </border>
    <border>
      <left/>
      <right/>
      <top style="medium">
        <color rgb="FF1E1A1B"/>
      </top>
      <bottom style="medium">
        <color rgb="FF1E1A1B"/>
      </bottom>
      <diagonal/>
    </border>
    <border>
      <left/>
      <right style="medium">
        <color rgb="FF1E1A1B"/>
      </right>
      <top style="medium">
        <color rgb="FF1E1A1B"/>
      </top>
      <bottom style="medium">
        <color rgb="FF1E1A1B"/>
      </bottom>
      <diagonal/>
    </border>
    <border>
      <left style="thin">
        <color rgb="FF1E1A1B"/>
      </left>
      <right/>
      <top style="thin">
        <color rgb="FF1E1A1B"/>
      </top>
      <bottom/>
      <diagonal/>
    </border>
    <border>
      <left/>
      <right style="thin">
        <color rgb="FF1E1A1B"/>
      </right>
      <top style="thin">
        <color rgb="FF1E1A1B"/>
      </top>
      <bottom/>
      <diagonal/>
    </border>
    <border>
      <left style="thin">
        <color rgb="FF1E1A1B"/>
      </left>
      <right/>
      <top/>
      <bottom/>
      <diagonal/>
    </border>
    <border>
      <left/>
      <right style="thin">
        <color rgb="FF1E1A1B"/>
      </right>
      <top/>
      <bottom/>
      <diagonal/>
    </border>
    <border>
      <left style="thin">
        <color rgb="FF1E1A1B"/>
      </left>
      <right/>
      <top/>
      <bottom style="thin">
        <color rgb="FF1E1A1B"/>
      </bottom>
      <diagonal/>
    </border>
    <border>
      <left/>
      <right style="thin">
        <color rgb="FF1E1A1B"/>
      </right>
      <top/>
      <bottom style="thin">
        <color rgb="FF1E1A1B"/>
      </bottom>
      <diagonal/>
    </border>
    <border>
      <left/>
      <right/>
      <top style="thin">
        <color rgb="FF1E1A1B"/>
      </top>
      <bottom/>
      <diagonal/>
    </border>
    <border>
      <left/>
      <right/>
      <top/>
      <bottom style="thin">
        <color rgb="FF1E1A1B"/>
      </bottom>
      <diagonal/>
    </border>
    <border>
      <left style="thin">
        <color rgb="FF1E1A1B"/>
      </left>
      <right/>
      <top style="thin">
        <color rgb="FF1E1A1B"/>
      </top>
      <bottom style="thin">
        <color rgb="FF1E1A1B"/>
      </bottom>
      <diagonal/>
    </border>
    <border>
      <left/>
      <right/>
      <top style="thin">
        <color rgb="FF1E1A1B"/>
      </top>
      <bottom style="thin">
        <color rgb="FF1E1A1B"/>
      </bottom>
      <diagonal/>
    </border>
    <border>
      <left/>
      <right style="thin">
        <color rgb="FF1E1A1B"/>
      </right>
      <top style="thin">
        <color rgb="FF1E1A1B"/>
      </top>
      <bottom style="thin">
        <color rgb="FF1E1A1B"/>
      </bottom>
      <diagonal/>
    </border>
    <border>
      <left style="thin">
        <color rgb="FF1E1A1B"/>
      </left>
      <right style="thin">
        <color rgb="FF1E1A1B"/>
      </right>
      <top style="thin">
        <color rgb="FF1E1A1B"/>
      </top>
      <bottom style="thin">
        <color rgb="FF1E1A1B"/>
      </bottom>
      <diagonal/>
    </border>
    <border>
      <left style="thin">
        <color rgb="FF1E1A1B"/>
      </left>
      <right style="thin">
        <color rgb="FF1E1A1B"/>
      </right>
      <top style="thin">
        <color rgb="FF1E1A1B"/>
      </top>
      <bottom/>
      <diagonal/>
    </border>
    <border>
      <left style="thin">
        <color rgb="FF1E1A1B"/>
      </left>
      <right style="thin">
        <color rgb="FF1E1A1B"/>
      </right>
      <top/>
      <bottom/>
      <diagonal/>
    </border>
    <border>
      <left style="thin">
        <color rgb="FF1E1A1B"/>
      </left>
      <right style="thin">
        <color rgb="FF1E1A1B"/>
      </right>
      <top/>
      <bottom style="thin">
        <color rgb="FF1E1A1B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1E1A1B"/>
      </left>
      <right/>
      <top style="thin">
        <color indexed="64"/>
      </top>
      <bottom/>
      <diagonal/>
    </border>
    <border>
      <left/>
      <right style="thin">
        <color rgb="FF1E1A1B"/>
      </right>
      <top style="thin">
        <color indexed="64"/>
      </top>
      <bottom/>
      <diagonal/>
    </border>
    <border>
      <left style="thin">
        <color rgb="FF1E1A1B"/>
      </left>
      <right/>
      <top/>
      <bottom style="thin">
        <color indexed="64"/>
      </bottom>
      <diagonal/>
    </border>
    <border>
      <left/>
      <right style="thin">
        <color rgb="FF1E1A1B"/>
      </right>
      <top/>
      <bottom style="thin">
        <color indexed="64"/>
      </bottom>
      <diagonal/>
    </border>
  </borders>
  <cellStyleXfs count="2">
    <xf numFmtId="0" fontId="0" fillId="0" borderId="0"/>
    <xf numFmtId="44" fontId="11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2" fillId="2" borderId="16" xfId="0" applyFont="1" applyFill="1" applyBorder="1" applyAlignment="1">
      <alignment horizontal="centerContinuous" vertical="center"/>
    </xf>
    <xf numFmtId="0" fontId="0" fillId="2" borderId="13" xfId="0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4" fillId="2" borderId="15" xfId="0" applyFont="1" applyFill="1" applyBorder="1" applyAlignment="1">
      <alignment horizontal="centerContinuous" vertical="center"/>
    </xf>
    <xf numFmtId="0" fontId="3" fillId="3" borderId="11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Continuous" vertical="center"/>
    </xf>
    <xf numFmtId="0" fontId="3" fillId="4" borderId="15" xfId="0" applyFont="1" applyFill="1" applyBorder="1" applyAlignment="1">
      <alignment horizontal="centerContinuous" vertical="center"/>
    </xf>
    <xf numFmtId="0" fontId="5" fillId="5" borderId="13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Continuous" vertical="center"/>
    </xf>
    <xf numFmtId="0" fontId="7" fillId="5" borderId="15" xfId="0" applyFont="1" applyFill="1" applyBorder="1" applyAlignment="1">
      <alignment horizontal="centerContinuous" vertical="center"/>
    </xf>
    <xf numFmtId="0" fontId="7" fillId="5" borderId="16" xfId="0" applyFont="1" applyFill="1" applyBorder="1" applyAlignment="1">
      <alignment horizontal="centerContinuous" vertical="center"/>
    </xf>
    <xf numFmtId="0" fontId="8" fillId="6" borderId="13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Continuous" vertical="center"/>
    </xf>
    <xf numFmtId="0" fontId="10" fillId="6" borderId="15" xfId="0" applyFont="1" applyFill="1" applyBorder="1" applyAlignment="1">
      <alignment horizontal="centerContinuous" vertical="center"/>
    </xf>
    <xf numFmtId="0" fontId="10" fillId="6" borderId="16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0" fontId="1" fillId="0" borderId="0" xfId="0" applyFont="1" applyAlignment="1">
      <alignment vertical="top" wrapText="1" shrinkToFit="1"/>
    </xf>
    <xf numFmtId="0" fontId="3" fillId="0" borderId="0" xfId="0" applyFont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1" fillId="7" borderId="32" xfId="0" applyFont="1" applyFill="1" applyBorder="1" applyAlignment="1" applyProtection="1">
      <alignment horizontal="center" vertical="center" shrinkToFit="1"/>
      <protection locked="0"/>
    </xf>
    <xf numFmtId="44" fontId="1" fillId="7" borderId="33" xfId="1" applyFont="1" applyFill="1" applyBorder="1" applyAlignment="1" applyProtection="1">
      <alignment vertical="center" shrinkToFit="1"/>
    </xf>
    <xf numFmtId="0" fontId="1" fillId="4" borderId="1" xfId="0" applyFont="1" applyFill="1" applyBorder="1" applyAlignment="1" applyProtection="1">
      <alignment horizontal="center" vertical="center" shrinkToFit="1"/>
      <protection locked="0"/>
    </xf>
    <xf numFmtId="44" fontId="1" fillId="4" borderId="1" xfId="1" applyFont="1" applyFill="1" applyBorder="1" applyAlignment="1" applyProtection="1">
      <alignment horizontal="left" vertical="center" shrinkToFit="1"/>
      <protection locked="0"/>
    </xf>
    <xf numFmtId="0" fontId="2" fillId="5" borderId="16" xfId="0" applyFont="1" applyFill="1" applyBorder="1" applyAlignment="1">
      <alignment horizontal="centerContinuous" vertical="center"/>
    </xf>
    <xf numFmtId="44" fontId="13" fillId="3" borderId="28" xfId="1" applyFont="1" applyFill="1" applyBorder="1" applyAlignment="1" applyProtection="1">
      <alignment horizontal="center" vertical="center"/>
      <protection locked="0"/>
    </xf>
    <xf numFmtId="49" fontId="1" fillId="7" borderId="32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14" fillId="5" borderId="14" xfId="0" applyFont="1" applyFill="1" applyBorder="1" applyAlignment="1">
      <alignment horizontal="centerContinuous" vertical="center"/>
    </xf>
    <xf numFmtId="0" fontId="15" fillId="4" borderId="14" xfId="0" applyFont="1" applyFill="1" applyBorder="1" applyAlignment="1">
      <alignment horizontal="centerContinuous" vertical="center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13" fillId="3" borderId="28" xfId="1" applyNumberFormat="1" applyFont="1" applyFill="1" applyBorder="1" applyAlignment="1" applyProtection="1">
      <alignment horizontal="center" vertical="center" shrinkToFit="1"/>
      <protection locked="0"/>
    </xf>
    <xf numFmtId="0" fontId="1" fillId="4" borderId="17" xfId="0" applyFont="1" applyFill="1" applyBorder="1" applyAlignment="1" applyProtection="1">
      <alignment horizontal="center" vertical="center" wrapText="1" shrinkToFit="1"/>
      <protection locked="0"/>
    </xf>
    <xf numFmtId="0" fontId="1" fillId="4" borderId="23" xfId="0" applyFont="1" applyFill="1" applyBorder="1" applyAlignment="1" applyProtection="1">
      <alignment horizontal="center" vertical="center" wrapText="1" shrinkToFit="1"/>
      <protection locked="0"/>
    </xf>
    <xf numFmtId="0" fontId="1" fillId="4" borderId="18" xfId="0" applyFont="1" applyFill="1" applyBorder="1" applyAlignment="1" applyProtection="1">
      <alignment horizontal="center" vertical="center" wrapText="1" shrinkToFit="1"/>
      <protection locked="0"/>
    </xf>
    <xf numFmtId="0" fontId="1" fillId="4" borderId="19" xfId="0" applyFont="1" applyFill="1" applyBorder="1" applyAlignment="1" applyProtection="1">
      <alignment horizontal="center" vertical="center" wrapText="1" shrinkToFit="1"/>
      <protection locked="0"/>
    </xf>
    <xf numFmtId="0" fontId="1" fillId="4" borderId="0" xfId="0" applyFont="1" applyFill="1" applyAlignment="1" applyProtection="1">
      <alignment horizontal="center" vertical="center" wrapText="1" shrinkToFit="1"/>
      <protection locked="0"/>
    </xf>
    <xf numFmtId="0" fontId="1" fillId="4" borderId="20" xfId="0" applyFont="1" applyFill="1" applyBorder="1" applyAlignment="1" applyProtection="1">
      <alignment horizontal="center" vertical="center" wrapText="1" shrinkToFit="1"/>
      <protection locked="0"/>
    </xf>
    <xf numFmtId="0" fontId="1" fillId="4" borderId="21" xfId="0" applyFont="1" applyFill="1" applyBorder="1" applyAlignment="1" applyProtection="1">
      <alignment horizontal="center" vertical="center" wrapText="1" shrinkToFit="1"/>
      <protection locked="0"/>
    </xf>
    <xf numFmtId="0" fontId="1" fillId="4" borderId="24" xfId="0" applyFont="1" applyFill="1" applyBorder="1" applyAlignment="1" applyProtection="1">
      <alignment horizontal="center" vertical="center" wrapText="1" shrinkToFit="1"/>
      <protection locked="0"/>
    </xf>
    <xf numFmtId="0" fontId="1" fillId="4" borderId="22" xfId="0" applyFont="1" applyFill="1" applyBorder="1" applyAlignment="1" applyProtection="1">
      <alignment horizontal="center" vertical="center" wrapText="1" shrinkToFit="1"/>
      <protection locked="0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1" fillId="3" borderId="17" xfId="0" applyFont="1" applyFill="1" applyBorder="1" applyAlignment="1" applyProtection="1">
      <alignment horizontal="center" vertical="center" wrapText="1" shrinkToFit="1"/>
      <protection locked="0"/>
    </xf>
    <xf numFmtId="0" fontId="1" fillId="3" borderId="18" xfId="0" applyFont="1" applyFill="1" applyBorder="1" applyAlignment="1" applyProtection="1">
      <alignment horizontal="center" vertical="center" wrapText="1" shrinkToFit="1"/>
      <protection locked="0"/>
    </xf>
    <xf numFmtId="0" fontId="1" fillId="3" borderId="19" xfId="0" applyFont="1" applyFill="1" applyBorder="1" applyAlignment="1" applyProtection="1">
      <alignment horizontal="center" vertical="center" wrapText="1" shrinkToFit="1"/>
      <protection locked="0"/>
    </xf>
    <xf numFmtId="0" fontId="1" fillId="3" borderId="20" xfId="0" applyFont="1" applyFill="1" applyBorder="1" applyAlignment="1" applyProtection="1">
      <alignment horizontal="center" vertical="center" wrapText="1" shrinkToFit="1"/>
      <protection locked="0"/>
    </xf>
    <xf numFmtId="0" fontId="1" fillId="3" borderId="21" xfId="0" applyFont="1" applyFill="1" applyBorder="1" applyAlignment="1" applyProtection="1">
      <alignment horizontal="center" vertical="center" wrapText="1" shrinkToFit="1"/>
      <protection locked="0"/>
    </xf>
    <xf numFmtId="0" fontId="1" fillId="3" borderId="22" xfId="0" applyFont="1" applyFill="1" applyBorder="1" applyAlignment="1" applyProtection="1">
      <alignment horizontal="center" vertical="center" wrapText="1" shrinkToFit="1"/>
      <protection locked="0"/>
    </xf>
    <xf numFmtId="0" fontId="1" fillId="7" borderId="34" xfId="1" applyNumberFormat="1" applyFont="1" applyFill="1" applyBorder="1" applyAlignment="1" applyProtection="1">
      <alignment horizontal="center" vertical="center" wrapText="1" shrinkToFit="1"/>
    </xf>
    <xf numFmtId="0" fontId="1" fillId="7" borderId="35" xfId="1" applyNumberFormat="1" applyFont="1" applyFill="1" applyBorder="1" applyAlignment="1" applyProtection="1">
      <alignment horizontal="center" vertical="center" wrapText="1" shrinkToFit="1"/>
    </xf>
    <xf numFmtId="0" fontId="1" fillId="7" borderId="19" xfId="1" applyNumberFormat="1" applyFont="1" applyFill="1" applyBorder="1" applyAlignment="1" applyProtection="1">
      <alignment horizontal="center" vertical="center" wrapText="1" shrinkToFit="1"/>
    </xf>
    <xf numFmtId="0" fontId="1" fillId="7" borderId="20" xfId="1" applyNumberFormat="1" applyFont="1" applyFill="1" applyBorder="1" applyAlignment="1" applyProtection="1">
      <alignment horizontal="center" vertical="center" wrapText="1" shrinkToFit="1"/>
    </xf>
    <xf numFmtId="0" fontId="1" fillId="7" borderId="36" xfId="1" applyNumberFormat="1" applyFont="1" applyFill="1" applyBorder="1" applyAlignment="1" applyProtection="1">
      <alignment horizontal="center" vertical="center" wrapText="1" shrinkToFit="1"/>
    </xf>
    <xf numFmtId="0" fontId="1" fillId="7" borderId="37" xfId="1" applyNumberFormat="1" applyFont="1" applyFill="1" applyBorder="1" applyAlignment="1" applyProtection="1">
      <alignment horizontal="center" vertical="center" wrapText="1" shrinkToFit="1"/>
    </xf>
    <xf numFmtId="0" fontId="12" fillId="0" borderId="29" xfId="0" applyFont="1" applyBorder="1" applyAlignment="1">
      <alignment horizontal="center" vertical="center" textRotation="90"/>
    </xf>
    <xf numFmtId="0" fontId="12" fillId="0" borderId="30" xfId="0" applyFont="1" applyBorder="1" applyAlignment="1">
      <alignment horizontal="center" vertical="center" textRotation="90"/>
    </xf>
    <xf numFmtId="0" fontId="12" fillId="0" borderId="31" xfId="0" applyFont="1" applyBorder="1" applyAlignment="1">
      <alignment horizontal="center" vertical="center" textRotation="90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3D0607"/>
      <color rgb="FFE37079"/>
      <color rgb="FF1E1A1B"/>
      <color rgb="FF413213"/>
      <color rgb="FFF8BF46"/>
      <color rgb="FF102940"/>
      <color rgb="FF3F9BEC"/>
      <color rgb="FFD6A8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0.png"/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152244</xdr:colOff>
      <xdr:row>1</xdr:row>
      <xdr:rowOff>77592</xdr:rowOff>
    </xdr:from>
    <xdr:to>
      <xdr:col>1</xdr:col>
      <xdr:colOff>931068</xdr:colOff>
      <xdr:row>5</xdr:row>
      <xdr:rowOff>139618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3D1DB7B7-4721-F954-5508-E9BEFDA96771}"/>
            </a:ext>
          </a:extLst>
        </xdr:cNvPr>
        <xdr:cNvGrpSpPr/>
      </xdr:nvGrpSpPr>
      <xdr:grpSpPr>
        <a:xfrm>
          <a:off x="1205700" y="586763"/>
          <a:ext cx="778824" cy="928201"/>
          <a:chOff x="1206584" y="431035"/>
          <a:chExt cx="778824" cy="924668"/>
        </a:xfrm>
      </xdr:grpSpPr>
      <xdr:pic macro="[0]!ViewCategoryAdd">
        <xdr:nvPicPr>
          <xdr:cNvPr id="7" name="Picture 6">
            <a:extLst>
              <a:ext uri="{FF2B5EF4-FFF2-40B4-BE49-F238E27FC236}">
                <a16:creationId xmlns:a16="http://schemas.microsoft.com/office/drawing/2014/main" id="{206DB6A4-0115-0EFF-09EA-1B5FCB53AB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53888" y="431035"/>
            <a:ext cx="731520" cy="721412"/>
          </a:xfrm>
          <a:prstGeom prst="rect">
            <a:avLst/>
          </a:prstGeom>
        </xdr:spPr>
      </xdr:pic>
      <xdr:sp macro="[0]!ViewCategoryAdd" textlink="">
        <xdr:nvSpPr>
          <xdr:cNvPr id="10" name="TextBox 9">
            <a:extLst>
              <a:ext uri="{FF2B5EF4-FFF2-40B4-BE49-F238E27FC236}">
                <a16:creationId xmlns:a16="http://schemas.microsoft.com/office/drawing/2014/main" id="{22064081-C1E4-8738-6D9C-D38C4AEFFBB2}"/>
              </a:ext>
            </a:extLst>
          </xdr:cNvPr>
          <xdr:cNvSpPr txBox="1"/>
        </xdr:nvSpPr>
        <xdr:spPr>
          <a:xfrm>
            <a:off x="1206584" y="1152447"/>
            <a:ext cx="778824" cy="2032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rgbClr val="1E1A1B"/>
                </a:solidFill>
                <a:latin typeface="Futura Medium" panose="020B0602020204020303" pitchFamily="34" charset="-79"/>
                <a:cs typeface="Futura Medium" panose="020B0602020204020303" pitchFamily="34" charset="-79"/>
              </a:rPr>
              <a:t>Add</a:t>
            </a:r>
          </a:p>
        </xdr:txBody>
      </xdr:sp>
    </xdr:grpSp>
    <xdr:clientData/>
  </xdr:twoCellAnchor>
  <xdr:twoCellAnchor>
    <xdr:from>
      <xdr:col>2</xdr:col>
      <xdr:colOff>226362</xdr:colOff>
      <xdr:row>1</xdr:row>
      <xdr:rowOff>77592</xdr:rowOff>
    </xdr:from>
    <xdr:to>
      <xdr:col>2</xdr:col>
      <xdr:colOff>957882</xdr:colOff>
      <xdr:row>5</xdr:row>
      <xdr:rowOff>139617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1E4A79A-AF84-49E6-8FD8-A53261D08DD0}"/>
            </a:ext>
          </a:extLst>
        </xdr:cNvPr>
        <xdr:cNvGrpSpPr/>
      </xdr:nvGrpSpPr>
      <xdr:grpSpPr>
        <a:xfrm>
          <a:off x="2421062" y="586763"/>
          <a:ext cx="731520" cy="928200"/>
          <a:chOff x="2424900" y="431035"/>
          <a:chExt cx="731520" cy="924667"/>
        </a:xfrm>
      </xdr:grpSpPr>
      <xdr:pic macro="[0]!ViewCategoryEdit">
        <xdr:nvPicPr>
          <xdr:cNvPr id="9" name="Picture 8">
            <a:extLst>
              <a:ext uri="{FF2B5EF4-FFF2-40B4-BE49-F238E27FC236}">
                <a16:creationId xmlns:a16="http://schemas.microsoft.com/office/drawing/2014/main" id="{9DC7E8BC-4550-0204-80A4-85ADBA538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424900" y="431035"/>
            <a:ext cx="731520" cy="721399"/>
          </a:xfrm>
          <a:prstGeom prst="rect">
            <a:avLst/>
          </a:prstGeom>
        </xdr:spPr>
      </xdr:pic>
      <xdr:sp macro="[0]!ViewCategoryEdit" textlink="">
        <xdr:nvSpPr>
          <xdr:cNvPr id="12" name="TextBox 11">
            <a:extLst>
              <a:ext uri="{FF2B5EF4-FFF2-40B4-BE49-F238E27FC236}">
                <a16:creationId xmlns:a16="http://schemas.microsoft.com/office/drawing/2014/main" id="{E859D08E-B023-034E-98F5-A4828B78967E}"/>
              </a:ext>
            </a:extLst>
          </xdr:cNvPr>
          <xdr:cNvSpPr txBox="1"/>
        </xdr:nvSpPr>
        <xdr:spPr>
          <a:xfrm>
            <a:off x="2487273" y="1152449"/>
            <a:ext cx="565805" cy="203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rgbClr val="1E1A1B"/>
                </a:solidFill>
                <a:latin typeface="Futura Medium" panose="020B0602020204020303" pitchFamily="34" charset="-79"/>
                <a:cs typeface="Futura Medium" panose="020B0602020204020303" pitchFamily="34" charset="-79"/>
              </a:rPr>
              <a:t>Edit</a:t>
            </a:r>
          </a:p>
        </xdr:txBody>
      </xdr:sp>
    </xdr:grpSp>
    <xdr:clientData/>
  </xdr:twoCellAnchor>
  <xdr:twoCellAnchor>
    <xdr:from>
      <xdr:col>3</xdr:col>
      <xdr:colOff>256243</xdr:colOff>
      <xdr:row>1</xdr:row>
      <xdr:rowOff>77592</xdr:rowOff>
    </xdr:from>
    <xdr:to>
      <xdr:col>3</xdr:col>
      <xdr:colOff>987763</xdr:colOff>
      <xdr:row>5</xdr:row>
      <xdr:rowOff>139606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637F3DFF-6D2A-C3DA-530C-AE7480E5BF1C}"/>
            </a:ext>
          </a:extLst>
        </xdr:cNvPr>
        <xdr:cNvGrpSpPr/>
      </xdr:nvGrpSpPr>
      <xdr:grpSpPr>
        <a:xfrm>
          <a:off x="3592188" y="586763"/>
          <a:ext cx="731520" cy="928189"/>
          <a:chOff x="3598979" y="431035"/>
          <a:chExt cx="731520" cy="924656"/>
        </a:xfrm>
      </xdr:grpSpPr>
      <xdr:pic macro="[0]!ViewCategoryDelete">
        <xdr:nvPicPr>
          <xdr:cNvPr id="8" name="Picture 7">
            <a:extLst>
              <a:ext uri="{FF2B5EF4-FFF2-40B4-BE49-F238E27FC236}">
                <a16:creationId xmlns:a16="http://schemas.microsoft.com/office/drawing/2014/main" id="{5F9A5C85-2906-7AB7-93D8-2F739371A0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598979" y="431035"/>
            <a:ext cx="731520" cy="721322"/>
          </a:xfrm>
          <a:prstGeom prst="rect">
            <a:avLst/>
          </a:prstGeom>
        </xdr:spPr>
      </xdr:pic>
      <xdr:sp macro="[0]!ViewCategoryDelete" textlink="">
        <xdr:nvSpPr>
          <xdr:cNvPr id="13" name="TextBox 12">
            <a:extLst>
              <a:ext uri="{FF2B5EF4-FFF2-40B4-BE49-F238E27FC236}">
                <a16:creationId xmlns:a16="http://schemas.microsoft.com/office/drawing/2014/main" id="{26118179-A032-2E46-9E9E-D23F326C29AA}"/>
              </a:ext>
            </a:extLst>
          </xdr:cNvPr>
          <xdr:cNvSpPr txBox="1"/>
        </xdr:nvSpPr>
        <xdr:spPr>
          <a:xfrm>
            <a:off x="3617898" y="1152460"/>
            <a:ext cx="693682" cy="203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rgbClr val="1E1A1B"/>
                </a:solidFill>
                <a:latin typeface="Futura Medium" panose="020B0602020204020303" pitchFamily="34" charset="-79"/>
                <a:cs typeface="Futura Medium" panose="020B0602020204020303" pitchFamily="34" charset="-79"/>
              </a:rPr>
              <a:t>Delete</a:t>
            </a:r>
          </a:p>
        </xdr:txBody>
      </xdr:sp>
    </xdr:grpSp>
    <xdr:clientData/>
  </xdr:twoCellAnchor>
  <xdr:twoCellAnchor>
    <xdr:from>
      <xdr:col>1</xdr:col>
      <xdr:colOff>152244</xdr:colOff>
      <xdr:row>6</xdr:row>
      <xdr:rowOff>73053</xdr:rowOff>
    </xdr:from>
    <xdr:to>
      <xdr:col>1</xdr:col>
      <xdr:colOff>931068</xdr:colOff>
      <xdr:row>10</xdr:row>
      <xdr:rowOff>150013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81CDC1D7-952E-D0AB-E764-0F8E0FFE0138}"/>
            </a:ext>
          </a:extLst>
        </xdr:cNvPr>
        <xdr:cNvGrpSpPr/>
      </xdr:nvGrpSpPr>
      <xdr:grpSpPr>
        <a:xfrm>
          <a:off x="1205700" y="1664942"/>
          <a:ext cx="778824" cy="943136"/>
          <a:chOff x="1206584" y="1504798"/>
          <a:chExt cx="778824" cy="939602"/>
        </a:xfrm>
      </xdr:grpSpPr>
      <xdr:pic macro="[0]!ViewProductAdd">
        <xdr:nvPicPr>
          <xdr:cNvPr id="3" name="Picture 2">
            <a:extLst>
              <a:ext uri="{FF2B5EF4-FFF2-40B4-BE49-F238E27FC236}">
                <a16:creationId xmlns:a16="http://schemas.microsoft.com/office/drawing/2014/main" id="{BF307E53-E1B4-A470-6769-81966252AA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30236" y="1504798"/>
            <a:ext cx="731520" cy="737882"/>
          </a:xfrm>
          <a:prstGeom prst="rect">
            <a:avLst/>
          </a:prstGeom>
        </xdr:spPr>
      </xdr:pic>
      <xdr:sp macro="[0]!ViewProductAdd" textlink="">
        <xdr:nvSpPr>
          <xdr:cNvPr id="16" name="TextBox 15">
            <a:extLst>
              <a:ext uri="{FF2B5EF4-FFF2-40B4-BE49-F238E27FC236}">
                <a16:creationId xmlns:a16="http://schemas.microsoft.com/office/drawing/2014/main" id="{5D4DB839-078F-1D4D-8EDE-AB590C523915}"/>
              </a:ext>
            </a:extLst>
          </xdr:cNvPr>
          <xdr:cNvSpPr txBox="1"/>
        </xdr:nvSpPr>
        <xdr:spPr>
          <a:xfrm>
            <a:off x="1206584" y="2241142"/>
            <a:ext cx="778824" cy="2032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rgbClr val="1E1A1B"/>
                </a:solidFill>
                <a:latin typeface="Futura Medium" panose="020B0602020204020303" pitchFamily="34" charset="-79"/>
                <a:cs typeface="Futura Medium" panose="020B0602020204020303" pitchFamily="34" charset="-79"/>
              </a:rPr>
              <a:t>Add</a:t>
            </a:r>
          </a:p>
        </xdr:txBody>
      </xdr:sp>
    </xdr:grpSp>
    <xdr:clientData/>
  </xdr:twoCellAnchor>
  <xdr:twoCellAnchor>
    <xdr:from>
      <xdr:col>2</xdr:col>
      <xdr:colOff>205877</xdr:colOff>
      <xdr:row>6</xdr:row>
      <xdr:rowOff>73053</xdr:rowOff>
    </xdr:from>
    <xdr:to>
      <xdr:col>2</xdr:col>
      <xdr:colOff>937397</xdr:colOff>
      <xdr:row>10</xdr:row>
      <xdr:rowOff>150012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DB0CC60E-C13A-D461-7F20-2683543CAE25}"/>
            </a:ext>
          </a:extLst>
        </xdr:cNvPr>
        <xdr:cNvGrpSpPr/>
      </xdr:nvGrpSpPr>
      <xdr:grpSpPr>
        <a:xfrm>
          <a:off x="2400577" y="1664942"/>
          <a:ext cx="731520" cy="943135"/>
          <a:chOff x="2404415" y="1504798"/>
          <a:chExt cx="731520" cy="939601"/>
        </a:xfrm>
      </xdr:grpSpPr>
      <xdr:pic macro="[0]!ViewProductEdit">
        <xdr:nvPicPr>
          <xdr:cNvPr id="5" name="Picture 4">
            <a:extLst>
              <a:ext uri="{FF2B5EF4-FFF2-40B4-BE49-F238E27FC236}">
                <a16:creationId xmlns:a16="http://schemas.microsoft.com/office/drawing/2014/main" id="{61285D7E-F27A-321F-6C55-52246A6C00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404415" y="1504798"/>
            <a:ext cx="731520" cy="737882"/>
          </a:xfrm>
          <a:prstGeom prst="rect">
            <a:avLst/>
          </a:prstGeom>
        </xdr:spPr>
      </xdr:pic>
      <xdr:sp macro="[0]!ViewProductEdit" textlink="">
        <xdr:nvSpPr>
          <xdr:cNvPr id="17" name="TextBox 16">
            <a:extLst>
              <a:ext uri="{FF2B5EF4-FFF2-40B4-BE49-F238E27FC236}">
                <a16:creationId xmlns:a16="http://schemas.microsoft.com/office/drawing/2014/main" id="{053DB912-C978-7140-916B-8BC39DAAD074}"/>
              </a:ext>
            </a:extLst>
          </xdr:cNvPr>
          <xdr:cNvSpPr txBox="1"/>
        </xdr:nvSpPr>
        <xdr:spPr>
          <a:xfrm>
            <a:off x="2487273" y="2241144"/>
            <a:ext cx="565805" cy="203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rgbClr val="1E1A1B"/>
                </a:solidFill>
                <a:latin typeface="Futura Medium" panose="020B0602020204020303" pitchFamily="34" charset="-79"/>
                <a:cs typeface="Futura Medium" panose="020B0602020204020303" pitchFamily="34" charset="-79"/>
              </a:rPr>
              <a:t>Edit</a:t>
            </a:r>
          </a:p>
        </xdr:txBody>
      </xdr:sp>
    </xdr:grpSp>
    <xdr:clientData/>
  </xdr:twoCellAnchor>
  <xdr:twoCellAnchor>
    <xdr:from>
      <xdr:col>3</xdr:col>
      <xdr:colOff>256243</xdr:colOff>
      <xdr:row>6</xdr:row>
      <xdr:rowOff>73053</xdr:rowOff>
    </xdr:from>
    <xdr:to>
      <xdr:col>3</xdr:col>
      <xdr:colOff>987763</xdr:colOff>
      <xdr:row>10</xdr:row>
      <xdr:rowOff>150001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659596BE-5A03-2FC1-030B-9E223BD254B0}"/>
            </a:ext>
          </a:extLst>
        </xdr:cNvPr>
        <xdr:cNvGrpSpPr/>
      </xdr:nvGrpSpPr>
      <xdr:grpSpPr>
        <a:xfrm>
          <a:off x="3592188" y="1664942"/>
          <a:ext cx="731520" cy="943124"/>
          <a:chOff x="3598979" y="1504798"/>
          <a:chExt cx="731520" cy="939590"/>
        </a:xfrm>
      </xdr:grpSpPr>
      <xdr:pic macro="[0]!ViewProductDelete">
        <xdr:nvPicPr>
          <xdr:cNvPr id="6" name="Picture 5">
            <a:extLst>
              <a:ext uri="{FF2B5EF4-FFF2-40B4-BE49-F238E27FC236}">
                <a16:creationId xmlns:a16="http://schemas.microsoft.com/office/drawing/2014/main" id="{6B76755D-849B-9820-7932-9D8CE74A07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3598979" y="1504798"/>
            <a:ext cx="731520" cy="737882"/>
          </a:xfrm>
          <a:prstGeom prst="rect">
            <a:avLst/>
          </a:prstGeom>
        </xdr:spPr>
      </xdr:pic>
      <xdr:sp macro="[0]!ViewProductDelete" textlink="">
        <xdr:nvSpPr>
          <xdr:cNvPr id="18" name="TextBox 17">
            <a:extLst>
              <a:ext uri="{FF2B5EF4-FFF2-40B4-BE49-F238E27FC236}">
                <a16:creationId xmlns:a16="http://schemas.microsoft.com/office/drawing/2014/main" id="{B090AB83-D2D8-634C-AEAA-55FD4D9E48D0}"/>
              </a:ext>
            </a:extLst>
          </xdr:cNvPr>
          <xdr:cNvSpPr txBox="1"/>
        </xdr:nvSpPr>
        <xdr:spPr>
          <a:xfrm>
            <a:off x="3617898" y="2241155"/>
            <a:ext cx="693682" cy="2032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rgbClr val="1E1A1B"/>
                </a:solidFill>
                <a:latin typeface="Futura Medium" panose="020B0602020204020303" pitchFamily="34" charset="-79"/>
                <a:cs typeface="Futura Medium" panose="020B0602020204020303" pitchFamily="34" charset="-79"/>
              </a:rPr>
              <a:t>Delete</a:t>
            </a:r>
          </a:p>
        </xdr:txBody>
      </xdr:sp>
    </xdr:grpSp>
    <xdr:clientData/>
  </xdr:twoCellAnchor>
  <xdr:twoCellAnchor>
    <xdr:from>
      <xdr:col>2</xdr:col>
      <xdr:colOff>807052</xdr:colOff>
      <xdr:row>11</xdr:row>
      <xdr:rowOff>75650</xdr:rowOff>
    </xdr:from>
    <xdr:to>
      <xdr:col>3</xdr:col>
      <xdr:colOff>547378</xdr:colOff>
      <xdr:row>15</xdr:row>
      <xdr:rowOff>172791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66A1B523-1E96-C0A4-E24F-5CB265A405DF}"/>
            </a:ext>
          </a:extLst>
        </xdr:cNvPr>
        <xdr:cNvGrpSpPr/>
      </xdr:nvGrpSpPr>
      <xdr:grpSpPr>
        <a:xfrm>
          <a:off x="3001752" y="2761963"/>
          <a:ext cx="881571" cy="963316"/>
          <a:chOff x="3005590" y="2597678"/>
          <a:chExt cx="884524" cy="959783"/>
        </a:xfrm>
      </xdr:grpSpPr>
      <xdr:pic>
        <xdr:nvPicPr>
          <xdr:cNvPr id="20" name="Picture 19">
            <a:extLst>
              <a:ext uri="{FF2B5EF4-FFF2-40B4-BE49-F238E27FC236}">
                <a16:creationId xmlns:a16="http://schemas.microsoft.com/office/drawing/2014/main" id="{1EB00BE7-4440-9DC3-B73F-9002EB7338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3155149" y="2597678"/>
            <a:ext cx="734965" cy="737881"/>
          </a:xfrm>
          <a:prstGeom prst="rect">
            <a:avLst/>
          </a:prstGeom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8CB9CACF-4A33-344A-93A8-DFB4F1144B48}"/>
              </a:ext>
            </a:extLst>
          </xdr:cNvPr>
          <xdr:cNvSpPr txBox="1"/>
        </xdr:nvSpPr>
        <xdr:spPr>
          <a:xfrm>
            <a:off x="3005590" y="3354207"/>
            <a:ext cx="770497" cy="203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rgbClr val="1E1A1B"/>
                </a:solidFill>
                <a:latin typeface="Futura Medium" panose="020B0602020204020303" pitchFamily="34" charset="-79"/>
                <a:cs typeface="Futura Medium" panose="020B0602020204020303" pitchFamily="34" charset="-79"/>
              </a:rPr>
              <a:t>Out</a:t>
            </a:r>
          </a:p>
        </xdr:txBody>
      </xdr:sp>
    </xdr:grpSp>
    <xdr:clientData/>
  </xdr:twoCellAnchor>
  <xdr:twoCellAnchor>
    <xdr:from>
      <xdr:col>4</xdr:col>
      <xdr:colOff>180048</xdr:colOff>
      <xdr:row>1</xdr:row>
      <xdr:rowOff>98554</xdr:rowOff>
    </xdr:from>
    <xdr:to>
      <xdr:col>4</xdr:col>
      <xdr:colOff>990126</xdr:colOff>
      <xdr:row>5</xdr:row>
      <xdr:rowOff>131059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262CB4F5-BB73-86DF-29D4-C42B3969D1BD}"/>
            </a:ext>
          </a:extLst>
        </xdr:cNvPr>
        <xdr:cNvGrpSpPr/>
      </xdr:nvGrpSpPr>
      <xdr:grpSpPr>
        <a:xfrm>
          <a:off x="4721615" y="607725"/>
          <a:ext cx="810078" cy="898680"/>
          <a:chOff x="4726888" y="451997"/>
          <a:chExt cx="810078" cy="895147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EA1DD35-454E-25F3-CD07-6B0A370E95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4766167" y="451997"/>
            <a:ext cx="731520" cy="740003"/>
          </a:xfrm>
          <a:prstGeom prst="rect">
            <a:avLst/>
          </a:prstGeom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C540B03E-9100-9948-A4F5-8FE50526776A}"/>
              </a:ext>
            </a:extLst>
          </xdr:cNvPr>
          <xdr:cNvSpPr txBox="1"/>
        </xdr:nvSpPr>
        <xdr:spPr>
          <a:xfrm>
            <a:off x="4726888" y="1143913"/>
            <a:ext cx="810078" cy="203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rgbClr val="1E1A1B"/>
                </a:solidFill>
                <a:latin typeface="Futura Medium" panose="020B0602020204020303" pitchFamily="34" charset="-79"/>
                <a:cs typeface="Futura Medium" panose="020B0602020204020303" pitchFamily="34" charset="-79"/>
              </a:rPr>
              <a:t>Users</a:t>
            </a:r>
          </a:p>
        </xdr:txBody>
      </xdr:sp>
    </xdr:grpSp>
    <xdr:clientData/>
  </xdr:twoCellAnchor>
  <xdr:twoCellAnchor>
    <xdr:from>
      <xdr:col>1</xdr:col>
      <xdr:colOff>563192</xdr:colOff>
      <xdr:row>11</xdr:row>
      <xdr:rowOff>78830</xdr:rowOff>
    </xdr:from>
    <xdr:to>
      <xdr:col>2</xdr:col>
      <xdr:colOff>295701</xdr:colOff>
      <xdr:row>15</xdr:row>
      <xdr:rowOff>172793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A668C15-EEB1-5B12-5FB9-70EB623453CA}"/>
            </a:ext>
          </a:extLst>
        </xdr:cNvPr>
        <xdr:cNvGrpSpPr/>
      </xdr:nvGrpSpPr>
      <xdr:grpSpPr>
        <a:xfrm>
          <a:off x="1616648" y="2765143"/>
          <a:ext cx="873753" cy="960138"/>
          <a:chOff x="1617532" y="2600858"/>
          <a:chExt cx="876707" cy="956605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464B047D-5BAA-8F47-8395-6767C9C88AD5}"/>
              </a:ext>
            </a:extLst>
          </xdr:cNvPr>
          <xdr:cNvSpPr txBox="1"/>
        </xdr:nvSpPr>
        <xdr:spPr>
          <a:xfrm>
            <a:off x="1711969" y="3354206"/>
            <a:ext cx="782270" cy="2032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rgbClr val="1E1A1B"/>
                </a:solidFill>
                <a:latin typeface="Futura Medium" panose="020B0602020204020303" pitchFamily="34" charset="-79"/>
                <a:cs typeface="Futura Medium" panose="020B0602020204020303" pitchFamily="34" charset="-79"/>
              </a:rPr>
              <a:t>In</a:t>
            </a:r>
          </a:p>
        </xdr:txBody>
      </xdr:sp>
      <xdr:pic>
        <xdr:nvPicPr>
          <xdr:cNvPr id="33" name="Picture 32">
            <a:extLst>
              <a:ext uri="{FF2B5EF4-FFF2-40B4-BE49-F238E27FC236}">
                <a16:creationId xmlns:a16="http://schemas.microsoft.com/office/drawing/2014/main" id="{2E47E0EE-5CA4-BD6E-FC78-53DAAAF230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617532" y="2600858"/>
            <a:ext cx="731520" cy="73152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177548</xdr:colOff>
      <xdr:row>2</xdr:row>
      <xdr:rowOff>4564</xdr:rowOff>
    </xdr:from>
    <xdr:to>
      <xdr:col>3</xdr:col>
      <xdr:colOff>638396</xdr:colOff>
      <xdr:row>3</xdr:row>
      <xdr:rowOff>7780</xdr:rowOff>
    </xdr:to>
    <xdr:pic macro="[0]!CategoryAdd">
      <xdr:nvPicPr>
        <xdr:cNvPr id="2" name="Picture 1">
          <a:extLst>
            <a:ext uri="{FF2B5EF4-FFF2-40B4-BE49-F238E27FC236}">
              <a16:creationId xmlns:a16="http://schemas.microsoft.com/office/drawing/2014/main" id="{E2BC4D08-85C7-C692-45AF-F035C4D86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95138" y="689816"/>
          <a:ext cx="460848" cy="460050"/>
        </a:xfrm>
        <a:prstGeom prst="rect">
          <a:avLst/>
        </a:prstGeom>
      </xdr:spPr>
    </xdr:pic>
    <xdr:clientData/>
  </xdr:twoCellAnchor>
  <xdr:twoCellAnchor editAs="oneCell">
    <xdr:from>
      <xdr:col>0</xdr:col>
      <xdr:colOff>112890</xdr:colOff>
      <xdr:row>0</xdr:row>
      <xdr:rowOff>33867</xdr:rowOff>
    </xdr:from>
    <xdr:to>
      <xdr:col>0</xdr:col>
      <xdr:colOff>478650</xdr:colOff>
      <xdr:row>0</xdr:row>
      <xdr:rowOff>399627</xdr:rowOff>
    </xdr:to>
    <xdr:pic macro="[0]!ViewHome">
      <xdr:nvPicPr>
        <xdr:cNvPr id="7" name="Picture 6">
          <a:extLst>
            <a:ext uri="{FF2B5EF4-FFF2-40B4-BE49-F238E27FC236}">
              <a16:creationId xmlns:a16="http://schemas.microsoft.com/office/drawing/2014/main" id="{CC10A65D-8586-3B31-AF8A-E0AFF867B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90" y="33867"/>
          <a:ext cx="365760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181446</xdr:colOff>
      <xdr:row>4</xdr:row>
      <xdr:rowOff>35202</xdr:rowOff>
    </xdr:from>
    <xdr:to>
      <xdr:col>3</xdr:col>
      <xdr:colOff>642294</xdr:colOff>
      <xdr:row>5</xdr:row>
      <xdr:rowOff>14711</xdr:rowOff>
    </xdr:to>
    <xdr:pic macro="[0]!CategoryEdit">
      <xdr:nvPicPr>
        <xdr:cNvPr id="2" name="Picture 1">
          <a:extLst>
            <a:ext uri="{FF2B5EF4-FFF2-40B4-BE49-F238E27FC236}">
              <a16:creationId xmlns:a16="http://schemas.microsoft.com/office/drawing/2014/main" id="{A7943B8E-2898-E149-B2F8-0FA18454F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67238" y="1403271"/>
          <a:ext cx="460848" cy="460050"/>
        </a:xfrm>
        <a:prstGeom prst="rect">
          <a:avLst/>
        </a:prstGeom>
      </xdr:spPr>
    </xdr:pic>
    <xdr:clientData/>
  </xdr:twoCellAnchor>
  <xdr:twoCellAnchor editAs="oneCell">
    <xdr:from>
      <xdr:col>0</xdr:col>
      <xdr:colOff>112890</xdr:colOff>
      <xdr:row>0</xdr:row>
      <xdr:rowOff>33867</xdr:rowOff>
    </xdr:from>
    <xdr:to>
      <xdr:col>0</xdr:col>
      <xdr:colOff>478650</xdr:colOff>
      <xdr:row>0</xdr:row>
      <xdr:rowOff>399627</xdr:rowOff>
    </xdr:to>
    <xdr:pic macro="[0]!ViewHome">
      <xdr:nvPicPr>
        <xdr:cNvPr id="3" name="Picture 2">
          <a:extLst>
            <a:ext uri="{FF2B5EF4-FFF2-40B4-BE49-F238E27FC236}">
              <a16:creationId xmlns:a16="http://schemas.microsoft.com/office/drawing/2014/main" id="{4F2ED876-37B7-6749-951F-AFBBD93AE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90" y="33867"/>
          <a:ext cx="365760" cy="3657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300894</xdr:colOff>
      <xdr:row>1</xdr:row>
      <xdr:rowOff>301505</xdr:rowOff>
    </xdr:from>
    <xdr:to>
      <xdr:col>3</xdr:col>
      <xdr:colOff>761742</xdr:colOff>
      <xdr:row>2</xdr:row>
      <xdr:rowOff>441771</xdr:rowOff>
    </xdr:to>
    <xdr:pic macro="[0]!CategoryDelete">
      <xdr:nvPicPr>
        <xdr:cNvPr id="2" name="Picture 1">
          <a:extLst>
            <a:ext uri="{FF2B5EF4-FFF2-40B4-BE49-F238E27FC236}">
              <a16:creationId xmlns:a16="http://schemas.microsoft.com/office/drawing/2014/main" id="{BB01E300-3614-7549-A8DC-E429EF6C8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62657" y="758340"/>
          <a:ext cx="460848" cy="460050"/>
        </a:xfrm>
        <a:prstGeom prst="rect">
          <a:avLst/>
        </a:prstGeom>
      </xdr:spPr>
    </xdr:pic>
    <xdr:clientData/>
  </xdr:twoCellAnchor>
  <xdr:twoCellAnchor editAs="oneCell">
    <xdr:from>
      <xdr:col>0</xdr:col>
      <xdr:colOff>112890</xdr:colOff>
      <xdr:row>0</xdr:row>
      <xdr:rowOff>33867</xdr:rowOff>
    </xdr:from>
    <xdr:to>
      <xdr:col>0</xdr:col>
      <xdr:colOff>478650</xdr:colOff>
      <xdr:row>0</xdr:row>
      <xdr:rowOff>399627</xdr:rowOff>
    </xdr:to>
    <xdr:pic macro="[0]!ViewHome">
      <xdr:nvPicPr>
        <xdr:cNvPr id="3" name="Picture 2">
          <a:extLst>
            <a:ext uri="{FF2B5EF4-FFF2-40B4-BE49-F238E27FC236}">
              <a16:creationId xmlns:a16="http://schemas.microsoft.com/office/drawing/2014/main" id="{DD97D301-730F-5E4F-A3D6-D7D0A1642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90" y="33867"/>
          <a:ext cx="365760" cy="3657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523188</xdr:colOff>
      <xdr:row>8</xdr:row>
      <xdr:rowOff>108638</xdr:rowOff>
    </xdr:from>
    <xdr:to>
      <xdr:col>4</xdr:col>
      <xdr:colOff>1254708</xdr:colOff>
      <xdr:row>11</xdr:row>
      <xdr:rowOff>196361</xdr:rowOff>
    </xdr:to>
    <xdr:pic macro="[0]!ProductAdd">
      <xdr:nvPicPr>
        <xdr:cNvPr id="2" name="Picture 1">
          <a:extLst>
            <a:ext uri="{FF2B5EF4-FFF2-40B4-BE49-F238E27FC236}">
              <a16:creationId xmlns:a16="http://schemas.microsoft.com/office/drawing/2014/main" id="{76351F34-A038-374B-9397-F4F2563DF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3868" y="2525337"/>
          <a:ext cx="731520" cy="735053"/>
        </a:xfrm>
        <a:prstGeom prst="rect">
          <a:avLst/>
        </a:prstGeom>
      </xdr:spPr>
    </xdr:pic>
    <xdr:clientData/>
  </xdr:twoCellAnchor>
  <xdr:twoCellAnchor editAs="oneCell">
    <xdr:from>
      <xdr:col>0</xdr:col>
      <xdr:colOff>112890</xdr:colOff>
      <xdr:row>0</xdr:row>
      <xdr:rowOff>41042</xdr:rowOff>
    </xdr:from>
    <xdr:to>
      <xdr:col>0</xdr:col>
      <xdr:colOff>478650</xdr:colOff>
      <xdr:row>0</xdr:row>
      <xdr:rowOff>406802</xdr:rowOff>
    </xdr:to>
    <xdr:pic macro="[0]!ViewHome">
      <xdr:nvPicPr>
        <xdr:cNvPr id="3" name="Picture 2">
          <a:extLst>
            <a:ext uri="{FF2B5EF4-FFF2-40B4-BE49-F238E27FC236}">
              <a16:creationId xmlns:a16="http://schemas.microsoft.com/office/drawing/2014/main" id="{A8C0D634-AE19-6843-A1E9-3B3FAF8E0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90" y="41042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4</xdr:col>
      <xdr:colOff>523188</xdr:colOff>
      <xdr:row>5</xdr:row>
      <xdr:rowOff>30825</xdr:rowOff>
    </xdr:from>
    <xdr:to>
      <xdr:col>4</xdr:col>
      <xdr:colOff>1254708</xdr:colOff>
      <xdr:row>8</xdr:row>
      <xdr:rowOff>41034</xdr:rowOff>
    </xdr:to>
    <xdr:pic macro="[0]!ProductAddClearInputs">
      <xdr:nvPicPr>
        <xdr:cNvPr id="4" name="Picture 3">
          <a:extLst>
            <a:ext uri="{FF2B5EF4-FFF2-40B4-BE49-F238E27FC236}">
              <a16:creationId xmlns:a16="http://schemas.microsoft.com/office/drawing/2014/main" id="{A965F67C-ADF3-0DBB-36FA-AFCFFA02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23868" y="1726213"/>
          <a:ext cx="731520" cy="731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112890</xdr:colOff>
      <xdr:row>0</xdr:row>
      <xdr:rowOff>41042</xdr:rowOff>
    </xdr:from>
    <xdr:to>
      <xdr:col>0</xdr:col>
      <xdr:colOff>478650</xdr:colOff>
      <xdr:row>0</xdr:row>
      <xdr:rowOff>406802</xdr:rowOff>
    </xdr:to>
    <xdr:pic macro="[0]!ViewHome">
      <xdr:nvPicPr>
        <xdr:cNvPr id="3" name="Picture 2">
          <a:extLst>
            <a:ext uri="{FF2B5EF4-FFF2-40B4-BE49-F238E27FC236}">
              <a16:creationId xmlns:a16="http://schemas.microsoft.com/office/drawing/2014/main" id="{80EFF817-3FC2-A246-9BEF-272A22E40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90" y="41042"/>
          <a:ext cx="365760" cy="365760"/>
        </a:xfrm>
        <a:prstGeom prst="rect">
          <a:avLst/>
        </a:prstGeom>
      </xdr:spPr>
    </xdr:pic>
    <xdr:clientData/>
  </xdr:twoCellAnchor>
  <xdr:twoCellAnchor>
    <xdr:from>
      <xdr:col>5</xdr:col>
      <xdr:colOff>236559</xdr:colOff>
      <xdr:row>2</xdr:row>
      <xdr:rowOff>19728</xdr:rowOff>
    </xdr:from>
    <xdr:to>
      <xdr:col>5</xdr:col>
      <xdr:colOff>524426</xdr:colOff>
      <xdr:row>2</xdr:row>
      <xdr:rowOff>307595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F8EAAC2-54DD-2A85-F7DF-6AEC2C601642}"/>
            </a:ext>
          </a:extLst>
        </xdr:cNvPr>
        <xdr:cNvSpPr/>
      </xdr:nvSpPr>
      <xdr:spPr>
        <a:xfrm>
          <a:off x="6709711" y="704758"/>
          <a:ext cx="287867" cy="287867"/>
        </a:xfrm>
        <a:prstGeom prst="ellipse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1E1A1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236559</xdr:colOff>
      <xdr:row>3</xdr:row>
      <xdr:rowOff>32429</xdr:rowOff>
    </xdr:from>
    <xdr:to>
      <xdr:col>5</xdr:col>
      <xdr:colOff>524426</xdr:colOff>
      <xdr:row>3</xdr:row>
      <xdr:rowOff>320296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9B68FB52-F672-564B-9868-D00A7EF9F168}"/>
            </a:ext>
          </a:extLst>
        </xdr:cNvPr>
        <xdr:cNvSpPr/>
      </xdr:nvSpPr>
      <xdr:spPr>
        <a:xfrm>
          <a:off x="6709711" y="1063823"/>
          <a:ext cx="287867" cy="287867"/>
        </a:xfrm>
        <a:prstGeom prst="ellipse">
          <a:avLst/>
        </a:prstGeom>
        <a:solidFill>
          <a:schemeClr val="bg1">
            <a:lumMod val="95000"/>
          </a:schemeClr>
        </a:solidFill>
        <a:ln>
          <a:solidFill>
            <a:srgbClr val="1E1A1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541359</xdr:colOff>
      <xdr:row>2</xdr:row>
      <xdr:rowOff>57828</xdr:rowOff>
    </xdr:from>
    <xdr:to>
      <xdr:col>5</xdr:col>
      <xdr:colOff>1978120</xdr:colOff>
      <xdr:row>2</xdr:row>
      <xdr:rowOff>269495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E288051-8641-0DF4-C4C4-9B6597EE2082}"/>
            </a:ext>
          </a:extLst>
        </xdr:cNvPr>
        <xdr:cNvSpPr txBox="1"/>
      </xdr:nvSpPr>
      <xdr:spPr>
        <a:xfrm>
          <a:off x="7014511" y="742858"/>
          <a:ext cx="1436761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>
              <a:latin typeface="Futura Medium" panose="020B0602020204020303" pitchFamily="34" charset="-79"/>
              <a:cs typeface="Futura Medium" panose="020B0602020204020303" pitchFamily="34" charset="-79"/>
            </a:rPr>
            <a:t>Current Information</a:t>
          </a:r>
        </a:p>
      </xdr:txBody>
    </xdr:sp>
    <xdr:clientData/>
  </xdr:twoCellAnchor>
  <xdr:twoCellAnchor>
    <xdr:from>
      <xdr:col>5</xdr:col>
      <xdr:colOff>541359</xdr:colOff>
      <xdr:row>3</xdr:row>
      <xdr:rowOff>70529</xdr:rowOff>
    </xdr:from>
    <xdr:to>
      <xdr:col>5</xdr:col>
      <xdr:colOff>1947332</xdr:colOff>
      <xdr:row>3</xdr:row>
      <xdr:rowOff>282196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3366501-E73A-FA4B-8123-73042FE5E3E8}"/>
            </a:ext>
          </a:extLst>
        </xdr:cNvPr>
        <xdr:cNvSpPr txBox="1"/>
      </xdr:nvSpPr>
      <xdr:spPr>
        <a:xfrm>
          <a:off x="7014511" y="1101923"/>
          <a:ext cx="1405973" cy="211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>
              <a:latin typeface="Futura Medium" panose="020B0602020204020303" pitchFamily="34" charset="-79"/>
              <a:cs typeface="Futura Medium" panose="020B0602020204020303" pitchFamily="34" charset="-79"/>
            </a:rPr>
            <a:t>New Information</a:t>
          </a:r>
        </a:p>
      </xdr:txBody>
    </xdr:sp>
    <xdr:clientData/>
  </xdr:twoCellAnchor>
  <xdr:twoCellAnchor editAs="oneCell">
    <xdr:from>
      <xdr:col>5</xdr:col>
      <xdr:colOff>1162242</xdr:colOff>
      <xdr:row>4</xdr:row>
      <xdr:rowOff>340068</xdr:rowOff>
    </xdr:from>
    <xdr:to>
      <xdr:col>5</xdr:col>
      <xdr:colOff>1893762</xdr:colOff>
      <xdr:row>7</xdr:row>
      <xdr:rowOff>36031</xdr:rowOff>
    </xdr:to>
    <xdr:pic macro="[0]!ProductEdit">
      <xdr:nvPicPr>
        <xdr:cNvPr id="4" name="Picture 3">
          <a:extLst>
            <a:ext uri="{FF2B5EF4-FFF2-40B4-BE49-F238E27FC236}">
              <a16:creationId xmlns:a16="http://schemas.microsoft.com/office/drawing/2014/main" id="{AEB471D4-DC3C-3641-8D6B-EE9B1F4B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35394" y="1717826"/>
          <a:ext cx="731520" cy="735053"/>
        </a:xfrm>
        <a:prstGeom prst="rect">
          <a:avLst/>
        </a:prstGeom>
      </xdr:spPr>
    </xdr:pic>
    <xdr:clientData/>
  </xdr:twoCellAnchor>
  <xdr:twoCellAnchor editAs="oneCell">
    <xdr:from>
      <xdr:col>5</xdr:col>
      <xdr:colOff>300180</xdr:colOff>
      <xdr:row>4</xdr:row>
      <xdr:rowOff>341834</xdr:rowOff>
    </xdr:from>
    <xdr:to>
      <xdr:col>5</xdr:col>
      <xdr:colOff>1031700</xdr:colOff>
      <xdr:row>7</xdr:row>
      <xdr:rowOff>34264</xdr:rowOff>
    </xdr:to>
    <xdr:pic macro="[0]!ProductEditClearInputs">
      <xdr:nvPicPr>
        <xdr:cNvPr id="9" name="Picture 8">
          <a:extLst>
            <a:ext uri="{FF2B5EF4-FFF2-40B4-BE49-F238E27FC236}">
              <a16:creationId xmlns:a16="http://schemas.microsoft.com/office/drawing/2014/main" id="{8350A3FB-8067-0E48-A1E6-43D9CC5DF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73332" y="1719592"/>
          <a:ext cx="731520" cy="7315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181446</xdr:colOff>
      <xdr:row>4</xdr:row>
      <xdr:rowOff>35202</xdr:rowOff>
    </xdr:from>
    <xdr:to>
      <xdr:col>3</xdr:col>
      <xdr:colOff>642294</xdr:colOff>
      <xdr:row>5</xdr:row>
      <xdr:rowOff>14711</xdr:rowOff>
    </xdr:to>
    <xdr:pic macro="[0]!ProductDelete">
      <xdr:nvPicPr>
        <xdr:cNvPr id="2" name="Picture 1">
          <a:extLst>
            <a:ext uri="{FF2B5EF4-FFF2-40B4-BE49-F238E27FC236}">
              <a16:creationId xmlns:a16="http://schemas.microsoft.com/office/drawing/2014/main" id="{6ACF91FC-C736-BF43-9E6C-CF3C3DC17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69346" y="1406802"/>
          <a:ext cx="460848" cy="462109"/>
        </a:xfrm>
        <a:prstGeom prst="rect">
          <a:avLst/>
        </a:prstGeom>
      </xdr:spPr>
    </xdr:pic>
    <xdr:clientData/>
  </xdr:twoCellAnchor>
  <xdr:twoCellAnchor editAs="oneCell">
    <xdr:from>
      <xdr:col>0</xdr:col>
      <xdr:colOff>112890</xdr:colOff>
      <xdr:row>0</xdr:row>
      <xdr:rowOff>33867</xdr:rowOff>
    </xdr:from>
    <xdr:to>
      <xdr:col>0</xdr:col>
      <xdr:colOff>478650</xdr:colOff>
      <xdr:row>0</xdr:row>
      <xdr:rowOff>399627</xdr:rowOff>
    </xdr:to>
    <xdr:pic macro="[0]!ViewHome">
      <xdr:nvPicPr>
        <xdr:cNvPr id="3" name="Picture 2">
          <a:extLst>
            <a:ext uri="{FF2B5EF4-FFF2-40B4-BE49-F238E27FC236}">
              <a16:creationId xmlns:a16="http://schemas.microsoft.com/office/drawing/2014/main" id="{DE4DE09F-B801-3C42-8186-7436118E4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90" y="33867"/>
          <a:ext cx="365760" cy="3657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A8349-BB8D-2E41-B0F6-0E376EE2500F}">
  <sheetPr codeName="H">
    <tabColor theme="4"/>
  </sheetPr>
  <dimension ref="A1:G18"/>
  <sheetViews>
    <sheetView showGridLines="0" tabSelected="1" zoomScale="217" zoomScaleNormal="210" workbookViewId="0">
      <selection activeCell="H7" sqref="H7"/>
    </sheetView>
  </sheetViews>
  <sheetFormatPr baseColWidth="10" defaultRowHeight="16" x14ac:dyDescent="0.2"/>
  <cols>
    <col min="1" max="1" width="13.83203125" style="1" customWidth="1"/>
    <col min="2" max="3" width="15" style="1" customWidth="1"/>
    <col min="4" max="4" width="15.83203125" style="1" customWidth="1"/>
    <col min="5" max="5" width="15" style="1" customWidth="1"/>
    <col min="6" max="16384" width="10.83203125" style="1"/>
  </cols>
  <sheetData>
    <row r="1" spans="1:7" ht="40" customHeight="1" thickBot="1" x14ac:dyDescent="0.25">
      <c r="A1" s="48" t="s">
        <v>84</v>
      </c>
      <c r="B1" s="23"/>
      <c r="C1" s="23"/>
      <c r="D1" s="23"/>
      <c r="E1" s="22"/>
    </row>
    <row r="2" spans="1:7" ht="17" customHeight="1" x14ac:dyDescent="0.2">
      <c r="A2" s="13"/>
      <c r="B2" s="3"/>
      <c r="C2" s="3"/>
      <c r="D2" s="8"/>
      <c r="E2" s="12"/>
      <c r="F2" s="2"/>
      <c r="G2" s="2"/>
    </row>
    <row r="3" spans="1:7" ht="17" customHeight="1" x14ac:dyDescent="0.2">
      <c r="A3" s="13"/>
      <c r="B3" s="3"/>
      <c r="C3" s="3"/>
      <c r="D3" s="8"/>
      <c r="E3" s="13"/>
      <c r="F3" s="2"/>
      <c r="G3" s="2"/>
    </row>
    <row r="4" spans="1:7" ht="17" customHeight="1" x14ac:dyDescent="0.2">
      <c r="A4" s="21" t="s">
        <v>66</v>
      </c>
      <c r="B4" s="3"/>
      <c r="C4" s="3"/>
      <c r="D4" s="8"/>
      <c r="E4" s="13"/>
      <c r="F4" s="2"/>
      <c r="G4" s="2"/>
    </row>
    <row r="5" spans="1:7" ht="17" customHeight="1" x14ac:dyDescent="0.2">
      <c r="A5" s="13"/>
      <c r="B5" s="3"/>
      <c r="C5" s="3"/>
      <c r="D5" s="8"/>
      <c r="E5" s="13"/>
      <c r="F5" s="2"/>
      <c r="G5" s="2"/>
    </row>
    <row r="6" spans="1:7" ht="17" customHeight="1" thickBot="1" x14ac:dyDescent="0.25">
      <c r="A6" s="14"/>
      <c r="B6" s="10"/>
      <c r="C6" s="10"/>
      <c r="D6" s="11"/>
      <c r="E6" s="14"/>
      <c r="F6" s="2"/>
      <c r="G6" s="2"/>
    </row>
    <row r="7" spans="1:7" ht="17" x14ac:dyDescent="0.2">
      <c r="A7" s="12"/>
      <c r="B7" s="5"/>
      <c r="C7" s="5"/>
      <c r="D7" s="6"/>
      <c r="E7" s="2"/>
      <c r="F7" s="2"/>
      <c r="G7" s="2"/>
    </row>
    <row r="8" spans="1:7" ht="17" x14ac:dyDescent="0.2">
      <c r="A8" s="13"/>
      <c r="B8" s="3"/>
      <c r="C8" s="3"/>
      <c r="D8" s="8"/>
      <c r="E8" s="2"/>
      <c r="F8" s="2"/>
      <c r="G8" s="2"/>
    </row>
    <row r="9" spans="1:7" ht="17" x14ac:dyDescent="0.2">
      <c r="A9" s="21" t="s">
        <v>67</v>
      </c>
      <c r="B9" s="3"/>
      <c r="C9" s="3"/>
      <c r="D9" s="8"/>
      <c r="E9" s="2"/>
      <c r="F9" s="2"/>
      <c r="G9" s="2"/>
    </row>
    <row r="10" spans="1:7" ht="17" x14ac:dyDescent="0.2">
      <c r="A10" s="13"/>
      <c r="B10" s="3"/>
      <c r="C10" s="3"/>
      <c r="D10" s="8"/>
      <c r="E10" s="2"/>
      <c r="F10" s="2"/>
      <c r="G10" s="2"/>
    </row>
    <row r="11" spans="1:7" ht="18" thickBot="1" x14ac:dyDescent="0.25">
      <c r="A11" s="14"/>
      <c r="B11" s="10"/>
      <c r="C11" s="10"/>
      <c r="D11" s="11"/>
      <c r="E11" s="2"/>
      <c r="F11" s="2"/>
      <c r="G11" s="2"/>
    </row>
    <row r="12" spans="1:7" ht="17" x14ac:dyDescent="0.2">
      <c r="A12" s="12"/>
      <c r="B12" s="4"/>
      <c r="C12" s="5"/>
      <c r="D12" s="6"/>
      <c r="E12" s="2"/>
      <c r="F12" s="2"/>
      <c r="G12" s="2"/>
    </row>
    <row r="13" spans="1:7" ht="17" x14ac:dyDescent="0.2">
      <c r="A13" s="13"/>
      <c r="B13" s="7"/>
      <c r="C13" s="3"/>
      <c r="D13" s="8"/>
      <c r="E13" s="2"/>
      <c r="F13" s="2"/>
      <c r="G13" s="2"/>
    </row>
    <row r="14" spans="1:7" ht="17" x14ac:dyDescent="0.2">
      <c r="A14" s="21" t="s">
        <v>68</v>
      </c>
      <c r="B14" s="7"/>
      <c r="C14" s="3"/>
      <c r="D14" s="8"/>
      <c r="E14" s="2"/>
      <c r="F14" s="2"/>
      <c r="G14" s="2"/>
    </row>
    <row r="15" spans="1:7" ht="17" x14ac:dyDescent="0.2">
      <c r="A15" s="13"/>
      <c r="B15" s="7"/>
      <c r="C15" s="3"/>
      <c r="D15" s="8"/>
      <c r="E15" s="2"/>
      <c r="F15" s="2"/>
      <c r="G15" s="2"/>
    </row>
    <row r="16" spans="1:7" ht="18" thickBot="1" x14ac:dyDescent="0.25">
      <c r="A16" s="14"/>
      <c r="B16" s="9"/>
      <c r="C16" s="10"/>
      <c r="D16" s="11"/>
      <c r="E16" s="2"/>
      <c r="F16" s="2"/>
      <c r="G16" s="2"/>
    </row>
    <row r="17" spans="1:7" ht="17" x14ac:dyDescent="0.2">
      <c r="A17" s="2"/>
      <c r="B17" s="2"/>
      <c r="C17" s="2"/>
      <c r="D17" s="2"/>
      <c r="E17" s="2"/>
      <c r="F17" s="2"/>
      <c r="G17" s="2"/>
    </row>
    <row r="18" spans="1:7" ht="17" x14ac:dyDescent="0.2">
      <c r="A18" s="2"/>
      <c r="B18" s="2"/>
      <c r="C18" s="2"/>
      <c r="D18" s="2"/>
      <c r="E18" s="2"/>
      <c r="F18" s="2"/>
      <c r="G18" s="2"/>
    </row>
  </sheetData>
  <sheetProtection algorithmName="SHA-512" hashValue="5iUpBpIuQDyxi9vGQDzTbcTcXJWqD4kcpnTEt4HrYDSA45udcTxoIpdJDlapUF6XPdYDchvpdj7dZR9VpMZ+aw==" saltValue="CgEDfQv4nqel0mjiFI6/dA==" spinCount="100000" sheet="1" objects="1" scenarios="1" selectLockedCells="1" selectUnlockedCells="1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C22E8-F443-2642-B533-C4440FF8BBC3}">
  <sheetPr codeName="CA">
    <tabColor theme="9"/>
  </sheetPr>
  <dimension ref="A1:F5"/>
  <sheetViews>
    <sheetView showGridLines="0" zoomScale="274" zoomScaleNormal="259" workbookViewId="0">
      <selection activeCell="C3" sqref="C3"/>
    </sheetView>
  </sheetViews>
  <sheetFormatPr baseColWidth="10" defaultRowHeight="16" x14ac:dyDescent="0.2"/>
  <cols>
    <col min="1" max="1" width="8.1640625" style="1" customWidth="1"/>
    <col min="2" max="2" width="21.6640625" style="1" customWidth="1"/>
    <col min="3" max="3" width="28.1640625" style="1" customWidth="1"/>
    <col min="4" max="16384" width="10.83203125" style="1"/>
  </cols>
  <sheetData>
    <row r="1" spans="1:6" ht="36" customHeight="1" thickBot="1" x14ac:dyDescent="0.25">
      <c r="A1" s="17"/>
      <c r="B1" s="20" t="s">
        <v>70</v>
      </c>
      <c r="C1" s="15"/>
      <c r="D1" s="16"/>
      <c r="E1" s="18"/>
      <c r="F1" s="18"/>
    </row>
    <row r="2" spans="1:6" ht="18" customHeight="1" x14ac:dyDescent="0.2"/>
    <row r="3" spans="1:6" ht="36" customHeight="1" x14ac:dyDescent="0.2">
      <c r="B3" s="19" t="s">
        <v>69</v>
      </c>
      <c r="C3" s="39"/>
    </row>
    <row r="4" spans="1:6" ht="25" customHeight="1" x14ac:dyDescent="0.2"/>
    <row r="5" spans="1:6" ht="22" customHeight="1" x14ac:dyDescent="0.2"/>
  </sheetData>
  <sheetProtection algorithmName="SHA-512" hashValue="SfddVx6xIjrnWp1xe3SSpBU8Fbx3UvwTDb6KJiPVNHHsOijtPO2KfX9oGeR3r5HurE9sjLEaj3gNfpBmjLa/JQ==" saltValue="grA8HvHLBAwwpBoa46i/WA==" spinCount="100000" sheet="1" objects="1" scenarios="1" selectLockedCells="1"/>
  <dataConsolidate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EBF5-9C3D-EC49-B7EE-31A62E5A156D}">
  <sheetPr codeName="CE">
    <tabColor theme="7"/>
  </sheetPr>
  <dimension ref="A1:F5"/>
  <sheetViews>
    <sheetView showGridLines="0" zoomScale="266" zoomScaleNormal="259" workbookViewId="0">
      <selection activeCell="C3" sqref="C3"/>
    </sheetView>
  </sheetViews>
  <sheetFormatPr baseColWidth="10" defaultRowHeight="16" x14ac:dyDescent="0.2"/>
  <cols>
    <col min="1" max="1" width="8.1640625" style="1" customWidth="1"/>
    <col min="2" max="2" width="25.83203125" style="1" customWidth="1"/>
    <col min="3" max="3" width="28.83203125" style="1" customWidth="1"/>
    <col min="4" max="4" width="16.6640625" style="1" customWidth="1"/>
    <col min="5" max="16384" width="10.83203125" style="1"/>
  </cols>
  <sheetData>
    <row r="1" spans="1:6" ht="36" customHeight="1" thickBot="1" x14ac:dyDescent="0.25">
      <c r="A1" s="24"/>
      <c r="B1" s="25" t="s">
        <v>71</v>
      </c>
      <c r="C1" s="26"/>
      <c r="D1" s="27"/>
      <c r="E1" s="18"/>
      <c r="F1" s="18"/>
    </row>
    <row r="2" spans="1:6" ht="17" customHeight="1" x14ac:dyDescent="0.2"/>
    <row r="3" spans="1:6" ht="38" customHeight="1" x14ac:dyDescent="0.2">
      <c r="B3" s="19" t="s">
        <v>72</v>
      </c>
      <c r="C3" s="39"/>
    </row>
    <row r="4" spans="1:6" ht="17" customHeight="1" x14ac:dyDescent="0.2"/>
    <row r="5" spans="1:6" ht="38" customHeight="1" x14ac:dyDescent="0.2">
      <c r="B5" s="19" t="s">
        <v>73</v>
      </c>
      <c r="C5" s="39"/>
    </row>
  </sheetData>
  <sheetProtection algorithmName="SHA-512" hashValue="8yPkK3cygftzhpnGZNpww4CGNc7QtEE0a5+vVYUhivZFrmrwTktA8AS2FzHCJ3kZX4UPqQpVsulEIpbKnS3sFw==" saltValue="neXGIMH/s7tKck/ipfPJuQ==" spinCount="100000" sheet="1" objects="1" scenarios="1" selectLockedCells="1"/>
  <dataConsolidate/>
  <dataValidations count="1">
    <dataValidation type="list" allowBlank="1" showInputMessage="1" showErrorMessage="1" sqref="C3" xr:uid="{70ABDFD2-12DF-9F47-AB88-F5C77E46721A}">
      <formula1>CATS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06755-D648-314F-A246-BA0A4137E3E8}">
  <sheetPr codeName="CD">
    <tabColor rgb="FFC00000"/>
  </sheetPr>
  <dimension ref="A1:F5"/>
  <sheetViews>
    <sheetView showGridLines="0" zoomScale="289" zoomScaleNormal="259" workbookViewId="0">
      <selection activeCell="C3" sqref="C3"/>
    </sheetView>
  </sheetViews>
  <sheetFormatPr baseColWidth="10" defaultRowHeight="16" x14ac:dyDescent="0.2"/>
  <cols>
    <col min="1" max="1" width="8.1640625" style="1" customWidth="1"/>
    <col min="2" max="2" width="19.33203125" style="1" customWidth="1"/>
    <col min="3" max="3" width="27.1640625" style="1" customWidth="1"/>
    <col min="4" max="4" width="15.33203125" style="1" customWidth="1"/>
    <col min="5" max="16384" width="10.83203125" style="1"/>
  </cols>
  <sheetData>
    <row r="1" spans="1:6" ht="36" customHeight="1" thickBot="1" x14ac:dyDescent="0.25">
      <c r="A1" s="28"/>
      <c r="B1" s="29" t="s">
        <v>74</v>
      </c>
      <c r="C1" s="30"/>
      <c r="D1" s="31"/>
      <c r="E1" s="18"/>
      <c r="F1" s="18"/>
    </row>
    <row r="2" spans="1:6" ht="25" customHeight="1" x14ac:dyDescent="0.2"/>
    <row r="3" spans="1:6" ht="36" customHeight="1" x14ac:dyDescent="0.2">
      <c r="B3" s="19" t="s">
        <v>72</v>
      </c>
      <c r="C3" s="39"/>
    </row>
    <row r="4" spans="1:6" ht="25" customHeight="1" x14ac:dyDescent="0.2"/>
    <row r="5" spans="1:6" ht="22" customHeight="1" x14ac:dyDescent="0.2"/>
  </sheetData>
  <sheetProtection algorithmName="SHA-512" hashValue="+goNUKD1lpXhuj/2EdZ+um2eD00JA1uthu/1pHzrZxS+Lfyhx/1/e/NZEJIe1SkQsQHC4R1dxdNvRWZ24kPyuQ==" saltValue="VKnsVV/51iX5gNtZFMOTHA==" spinCount="100000" sheet="1" objects="1" scenarios="1" selectLockedCells="1"/>
  <dataConsolidate/>
  <dataValidations count="1">
    <dataValidation type="list" allowBlank="1" showInputMessage="1" showErrorMessage="1" sqref="C3" xr:uid="{B38BC5A2-610C-3844-BE24-D37D5FA3F729}">
      <formula1>CATS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B2B8-54A3-D94D-B57B-575AB0EED9DE}">
  <sheetPr codeName="PA">
    <tabColor theme="9"/>
  </sheetPr>
  <dimension ref="A1:F15"/>
  <sheetViews>
    <sheetView showGridLines="0" zoomScale="208" zoomScaleNormal="162" workbookViewId="0">
      <selection activeCell="C3" sqref="C3"/>
    </sheetView>
  </sheetViews>
  <sheetFormatPr baseColWidth="10" defaultRowHeight="16" x14ac:dyDescent="0.2"/>
  <cols>
    <col min="1" max="1" width="8.6640625" style="1" customWidth="1"/>
    <col min="2" max="2" width="25.5" style="1" customWidth="1"/>
    <col min="3" max="3" width="21.83203125" style="1" customWidth="1"/>
    <col min="4" max="4" width="26.6640625" style="1" customWidth="1"/>
    <col min="5" max="5" width="21.33203125" style="1" customWidth="1"/>
    <col min="6" max="16384" width="10.83203125" style="1"/>
  </cols>
  <sheetData>
    <row r="1" spans="1:6" ht="36" customHeight="1" thickBot="1" x14ac:dyDescent="0.25">
      <c r="A1" s="17"/>
      <c r="B1" s="32" t="s">
        <v>75</v>
      </c>
      <c r="C1" s="15"/>
      <c r="D1" s="15"/>
      <c r="E1" s="16"/>
      <c r="F1" s="18"/>
    </row>
    <row r="2" spans="1:6" ht="18" customHeight="1" x14ac:dyDescent="0.2"/>
    <row r="3" spans="1:6" ht="27" customHeight="1" x14ac:dyDescent="0.2">
      <c r="B3" s="19" t="s">
        <v>72</v>
      </c>
      <c r="C3" s="39"/>
      <c r="D3" s="19" t="s">
        <v>77</v>
      </c>
      <c r="E3" s="40"/>
    </row>
    <row r="4" spans="1:6" ht="27" customHeight="1" x14ac:dyDescent="0.2">
      <c r="B4" s="19" t="s">
        <v>76</v>
      </c>
      <c r="C4" s="39"/>
      <c r="D4" s="19" t="s">
        <v>78</v>
      </c>
      <c r="E4" s="40"/>
    </row>
    <row r="5" spans="1:6" ht="25" customHeight="1" x14ac:dyDescent="0.2"/>
    <row r="6" spans="1:6" ht="23" customHeight="1" x14ac:dyDescent="0.2">
      <c r="B6" s="63" t="s">
        <v>79</v>
      </c>
      <c r="C6" s="64"/>
      <c r="D6" s="65"/>
    </row>
    <row r="7" spans="1:6" ht="17" customHeight="1" x14ac:dyDescent="0.2">
      <c r="B7" s="54"/>
      <c r="C7" s="55"/>
      <c r="D7" s="56"/>
      <c r="E7" s="33"/>
    </row>
    <row r="8" spans="1:6" ht="17" customHeight="1" x14ac:dyDescent="0.2">
      <c r="B8" s="57"/>
      <c r="C8" s="58"/>
      <c r="D8" s="59"/>
      <c r="E8" s="33"/>
    </row>
    <row r="9" spans="1:6" ht="17" customHeight="1" x14ac:dyDescent="0.2">
      <c r="B9" s="57"/>
      <c r="C9" s="58"/>
      <c r="D9" s="59"/>
      <c r="E9" s="33"/>
    </row>
    <row r="10" spans="1:6" ht="17" customHeight="1" x14ac:dyDescent="0.2">
      <c r="B10" s="57"/>
      <c r="C10" s="58"/>
      <c r="D10" s="59"/>
      <c r="E10" s="33"/>
    </row>
    <row r="11" spans="1:6" ht="17" customHeight="1" x14ac:dyDescent="0.2">
      <c r="B11" s="57"/>
      <c r="C11" s="58"/>
      <c r="D11" s="59"/>
      <c r="E11" s="33"/>
    </row>
    <row r="12" spans="1:6" ht="17" customHeight="1" x14ac:dyDescent="0.2">
      <c r="B12" s="60"/>
      <c r="C12" s="61"/>
      <c r="D12" s="62"/>
      <c r="E12" s="33"/>
    </row>
    <row r="13" spans="1:6" ht="16" customHeight="1" x14ac:dyDescent="0.2">
      <c r="B13" s="33"/>
      <c r="C13" s="33"/>
      <c r="D13" s="33"/>
      <c r="E13" s="33"/>
    </row>
    <row r="14" spans="1:6" hidden="1" x14ac:dyDescent="0.2">
      <c r="A14" s="1" t="s">
        <v>6</v>
      </c>
      <c r="B14" s="1" t="str">
        <f>B3</f>
        <v>Category</v>
      </c>
      <c r="C14" s="1" t="str">
        <f>B4</f>
        <v>Product Name</v>
      </c>
      <c r="D14" s="1" t="str">
        <f>D3</f>
        <v>Acquisition cost</v>
      </c>
      <c r="E14" s="1" t="str">
        <f>D4</f>
        <v>Sale Price</v>
      </c>
      <c r="F14" s="1" t="str">
        <f>B6</f>
        <v>Description*</v>
      </c>
    </row>
    <row r="15" spans="1:6" hidden="1" x14ac:dyDescent="0.2">
      <c r="A15" s="1">
        <f>PROD_COUNT_ID</f>
        <v>28</v>
      </c>
      <c r="B15" s="1" t="str">
        <f>IF(PROD_NEW_CAT="","",INDEX(CAT_IDS,MATCH(PROD_NEW_CAT,CATS,0)))</f>
        <v/>
      </c>
      <c r="C15" s="44" t="str">
        <f>IF(PROD_NEW_NAME="", "",PROD_NEW_NAME)</f>
        <v/>
      </c>
      <c r="D15" s="1" t="str">
        <f>IF(E3="", "",E3)</f>
        <v/>
      </c>
      <c r="E15" s="1" t="str">
        <f>IF(E4="", "",E4)</f>
        <v/>
      </c>
      <c r="F15" s="44" t="str">
        <f>IF(B7="", "", B7)</f>
        <v/>
      </c>
    </row>
  </sheetData>
  <sheetProtection algorithmName="SHA-512" hashValue="XDgOYz512SJMBBPCcREBaeR0XuEv4srC3PNE+Lgzi6D5m1T+q1vFqhkvfYfw2XteCe8G1lR8V74I006TTht2cQ==" saltValue="kzYApe2YWUtT24ukW5lH5g==" spinCount="100000" sheet="1" objects="1" scenarios="1" selectLockedCells="1"/>
  <dataConsolidate/>
  <mergeCells count="2">
    <mergeCell ref="B7:D12"/>
    <mergeCell ref="B6:D6"/>
  </mergeCells>
  <dataValidations count="2">
    <dataValidation type="list" allowBlank="1" showInputMessage="1" showErrorMessage="1" sqref="C3" xr:uid="{AF4A5E11-056B-BB47-8E7F-5559CC6DDAC4}">
      <formula1>CATS</formula1>
    </dataValidation>
    <dataValidation type="decimal" operator="greaterThan" allowBlank="1" showInputMessage="1" showErrorMessage="1" errorTitle="ERROR" error="Ese no es un valor válido." sqref="E3:E4" xr:uid="{990C512B-9A8D-A74A-8A01-D1D85EABF69C}">
      <formula1>0</formula1>
    </dataValidation>
  </dataValidations>
  <pageMargins left="0.7" right="0.7" top="0.75" bottom="0.75" header="0.3" footer="0.3"/>
  <ignoredErrors>
    <ignoredError sqref="C14:D14" formula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5FF1D-1D32-474B-B530-4EBCFF056F3A}">
  <sheetPr codeName="PE">
    <tabColor theme="7"/>
  </sheetPr>
  <dimension ref="A1:G17"/>
  <sheetViews>
    <sheetView showGridLines="0" zoomScale="189" zoomScaleNormal="192" workbookViewId="0">
      <selection activeCell="D4" sqref="D4"/>
    </sheetView>
  </sheetViews>
  <sheetFormatPr baseColWidth="10" defaultRowHeight="16" x14ac:dyDescent="0.2"/>
  <cols>
    <col min="1" max="2" width="8.6640625" style="1" customWidth="1"/>
    <col min="3" max="5" width="22.5" style="1" customWidth="1"/>
    <col min="6" max="6" width="26.33203125" style="1" customWidth="1"/>
    <col min="7" max="7" width="10.33203125" style="1" bestFit="1" customWidth="1"/>
    <col min="8" max="8" width="16.5" style="1" customWidth="1"/>
    <col min="9" max="16384" width="10.83203125" style="1"/>
  </cols>
  <sheetData>
    <row r="1" spans="1:7" ht="36" customHeight="1" thickBot="1" x14ac:dyDescent="0.25">
      <c r="A1" s="35"/>
      <c r="B1" s="47" t="s">
        <v>81</v>
      </c>
      <c r="C1" s="25"/>
      <c r="D1" s="26"/>
      <c r="E1" s="26"/>
      <c r="F1" s="41"/>
    </row>
    <row r="2" spans="1:7" ht="18" customHeight="1" x14ac:dyDescent="0.2"/>
    <row r="3" spans="1:7" ht="27" customHeight="1" x14ac:dyDescent="0.2">
      <c r="B3" s="66" t="s">
        <v>72</v>
      </c>
      <c r="C3" s="66"/>
      <c r="D3" s="37" t="s">
        <v>11</v>
      </c>
      <c r="E3" s="53"/>
    </row>
    <row r="4" spans="1:7" ht="27" customHeight="1" x14ac:dyDescent="0.2">
      <c r="B4" s="66" t="s">
        <v>76</v>
      </c>
      <c r="C4" s="66"/>
      <c r="D4" s="43" t="s">
        <v>27</v>
      </c>
      <c r="E4" s="53"/>
    </row>
    <row r="5" spans="1:7" ht="27" customHeight="1" x14ac:dyDescent="0.2">
      <c r="C5" s="34"/>
      <c r="D5" s="36"/>
    </row>
    <row r="6" spans="1:7" ht="27" customHeight="1" x14ac:dyDescent="0.2">
      <c r="B6" s="66" t="s">
        <v>77</v>
      </c>
      <c r="C6" s="66"/>
      <c r="D6" s="38"/>
      <c r="E6" s="42"/>
    </row>
    <row r="7" spans="1:7" ht="27" customHeight="1" x14ac:dyDescent="0.2">
      <c r="B7" s="66" t="s">
        <v>78</v>
      </c>
      <c r="C7" s="66"/>
      <c r="D7" s="38"/>
      <c r="E7" s="42"/>
    </row>
    <row r="8" spans="1:7" ht="25" customHeight="1" x14ac:dyDescent="0.2"/>
    <row r="9" spans="1:7" ht="17" customHeight="1" x14ac:dyDescent="0.2">
      <c r="B9" s="79" t="s">
        <v>80</v>
      </c>
      <c r="C9" s="73"/>
      <c r="D9" s="74"/>
      <c r="E9" s="67"/>
      <c r="F9" s="68"/>
      <c r="G9" s="33"/>
    </row>
    <row r="10" spans="1:7" ht="17" customHeight="1" x14ac:dyDescent="0.2">
      <c r="B10" s="80"/>
      <c r="C10" s="75"/>
      <c r="D10" s="76"/>
      <c r="E10" s="69"/>
      <c r="F10" s="70"/>
      <c r="G10" s="33"/>
    </row>
    <row r="11" spans="1:7" ht="17" customHeight="1" x14ac:dyDescent="0.2">
      <c r="B11" s="80"/>
      <c r="C11" s="75"/>
      <c r="D11" s="76"/>
      <c r="E11" s="69"/>
      <c r="F11" s="70"/>
      <c r="G11" s="33"/>
    </row>
    <row r="12" spans="1:7" ht="17" customHeight="1" x14ac:dyDescent="0.2">
      <c r="B12" s="80"/>
      <c r="C12" s="75"/>
      <c r="D12" s="76"/>
      <c r="E12" s="69"/>
      <c r="F12" s="70"/>
      <c r="G12" s="33"/>
    </row>
    <row r="13" spans="1:7" ht="17" customHeight="1" x14ac:dyDescent="0.2">
      <c r="B13" s="80"/>
      <c r="C13" s="75"/>
      <c r="D13" s="76"/>
      <c r="E13" s="69"/>
      <c r="F13" s="70"/>
      <c r="G13" s="33"/>
    </row>
    <row r="14" spans="1:7" ht="17" customHeight="1" x14ac:dyDescent="0.2">
      <c r="B14" s="81"/>
      <c r="C14" s="77"/>
      <c r="D14" s="78"/>
      <c r="E14" s="71"/>
      <c r="F14" s="72"/>
      <c r="G14" s="33"/>
    </row>
    <row r="15" spans="1:7" ht="16" customHeight="1" x14ac:dyDescent="0.2"/>
    <row r="16" spans="1:7" hidden="1" x14ac:dyDescent="0.2">
      <c r="C16" s="1" t="s">
        <v>7</v>
      </c>
      <c r="D16" s="1" t="s">
        <v>2</v>
      </c>
      <c r="E16" s="1" t="s">
        <v>3</v>
      </c>
      <c r="F16" s="1" t="s">
        <v>4</v>
      </c>
      <c r="G16" s="1" t="s">
        <v>5</v>
      </c>
    </row>
    <row r="17" spans="3:7" hidden="1" x14ac:dyDescent="0.2">
      <c r="C17" s="1">
        <f>IF(PROD_EDIT_NEW_CAT="", IF(PROD_EDIT_CAT="","",INDEX(CAT_IDS,MATCH(PROD_EDIT_CAT,CATS,0))),INDEX(CAT_IDS,MATCH(PROD_EDIT_NEW_CAT,CATS,0)))</f>
        <v>3</v>
      </c>
      <c r="D17" s="1" t="str">
        <f>IF(PROD_EDIT_NEW_NAME="",IF(PROD_EDIT_NAME = "", "",PROD_EDIT_NAME), PROD_EDIT_NEW_NAME)</f>
        <v/>
      </c>
      <c r="E17" s="1" t="str">
        <f>IF(E6="",IF(PROD_EDIT_CURRENT_COST="", "", PROD_EDIT_CURRENT_COST),E6)</f>
        <v/>
      </c>
      <c r="F17" s="1" t="str">
        <f>IF(E7="",IF(PROD_EDIT_CURRENT_PRICE="", "", PROD_EDIT_CURRENT_PRICE),E7)</f>
        <v/>
      </c>
      <c r="G17" s="44" t="str">
        <f>IF(E9="",IF(C9="", "", C9), E9)</f>
        <v/>
      </c>
    </row>
  </sheetData>
  <sheetProtection algorithmName="SHA-512" hashValue="L3jy3fT9xH0ZDaKYLzIlzB9aXE1rF7ds+tcChG6bfGQPuGqFLhdh1XN0oW7nSPXRPYWUeJeL+hPdIludBsGc8g==" saltValue="Stb36dQ3jx9Xy4pGec/x9w==" spinCount="100000" sheet="1" objects="1" scenarios="1" selectLockedCells="1"/>
  <dataConsolidate/>
  <mergeCells count="7">
    <mergeCell ref="B3:C3"/>
    <mergeCell ref="B4:C4"/>
    <mergeCell ref="B6:C6"/>
    <mergeCell ref="B7:C7"/>
    <mergeCell ref="E9:F14"/>
    <mergeCell ref="C9:D14"/>
    <mergeCell ref="B9:B14"/>
  </mergeCells>
  <dataValidations count="3">
    <dataValidation type="list" allowBlank="1" showInputMessage="1" showErrorMessage="1" sqref="D4" xr:uid="{85D97C90-FD57-2B44-827C-A08156BD279F}">
      <formula1>PRODS_FILTERED</formula1>
    </dataValidation>
    <dataValidation type="list" allowBlank="1" showInputMessage="1" showErrorMessage="1" sqref="D3:E3" xr:uid="{10364B5E-E82C-BE48-9E96-2207AB488485}">
      <formula1>CATS</formula1>
    </dataValidation>
    <dataValidation type="decimal" operator="greaterThan" allowBlank="1" showInputMessage="1" showErrorMessage="1" errorTitle="ERROR" error="Ese no es unvalor válido." sqref="E6:E7" xr:uid="{FE750322-CC50-AC44-B338-916A5A2F8090}">
      <formula1>0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BAA46-B3E8-244B-8CA9-EA466F74D7CE}">
  <sheetPr codeName="PD">
    <tabColor rgb="FFC00000"/>
  </sheetPr>
  <dimension ref="A1:F5"/>
  <sheetViews>
    <sheetView showGridLines="0" zoomScale="266" zoomScaleNormal="259" workbookViewId="0">
      <selection activeCell="C3" sqref="C3"/>
    </sheetView>
  </sheetViews>
  <sheetFormatPr baseColWidth="10" defaultRowHeight="16" x14ac:dyDescent="0.2"/>
  <cols>
    <col min="1" max="1" width="8.1640625" style="1" customWidth="1"/>
    <col min="2" max="2" width="25.83203125" style="1" customWidth="1"/>
    <col min="3" max="3" width="28.83203125" style="1" customWidth="1"/>
    <col min="4" max="4" width="16.6640625" style="1" customWidth="1"/>
    <col min="5" max="16384" width="10.83203125" style="1"/>
  </cols>
  <sheetData>
    <row r="1" spans="1:6" ht="36" customHeight="1" thickBot="1" x14ac:dyDescent="0.25">
      <c r="A1" s="28"/>
      <c r="B1" s="29" t="s">
        <v>83</v>
      </c>
      <c r="C1" s="30"/>
      <c r="D1" s="31"/>
      <c r="E1" s="18"/>
      <c r="F1" s="18"/>
    </row>
    <row r="2" spans="1:6" ht="17" customHeight="1" x14ac:dyDescent="0.2"/>
    <row r="3" spans="1:6" ht="38" customHeight="1" x14ac:dyDescent="0.2">
      <c r="B3" s="19" t="s">
        <v>72</v>
      </c>
      <c r="C3" s="39"/>
    </row>
    <row r="4" spans="1:6" ht="17" customHeight="1" x14ac:dyDescent="0.2"/>
    <row r="5" spans="1:6" ht="38" customHeight="1" x14ac:dyDescent="0.2">
      <c r="B5" s="19" t="s">
        <v>82</v>
      </c>
      <c r="C5" s="39"/>
    </row>
  </sheetData>
  <sheetProtection algorithmName="SHA-512" hashValue="Sk/9seRCMbDLURPvEyL3rDT2iEtuHlJ3fT92Fq9p5Y7HIL7AHRgBxE3qwhEwSxGrQFIpWY3jdMfJIAcNAiBK6A==" saltValue="c9Vgde6UqnZ6t5AN07TGVA==" spinCount="100000" sheet="1" objects="1" scenarios="1" selectLockedCells="1"/>
  <dataConsolidate/>
  <dataValidations count="2">
    <dataValidation type="list" allowBlank="1" showInputMessage="1" showErrorMessage="1" sqref="C3" xr:uid="{0532C103-8BC3-AB4F-BBE9-CC80DFF5DB76}">
      <formula1>CATS</formula1>
    </dataValidation>
    <dataValidation type="list" allowBlank="1" showInputMessage="1" showErrorMessage="1" sqref="C5" xr:uid="{90C38229-D4B0-E445-917A-467A3F85E77D}">
      <formula1>PRODS_FILTERED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F7556-69B1-8C4D-9887-411336E5FBE9}">
  <sheetPr codeName="A"/>
  <dimension ref="A1:Q24"/>
  <sheetViews>
    <sheetView zoomScale="142" zoomScaleNormal="142" workbookViewId="0">
      <selection activeCell="O2" sqref="O2:O3"/>
    </sheetView>
  </sheetViews>
  <sheetFormatPr baseColWidth="10" defaultRowHeight="16" customHeight="1" x14ac:dyDescent="0.2"/>
  <cols>
    <col min="1" max="1" width="7.5" style="1" customWidth="1"/>
    <col min="2" max="2" width="2.6640625" style="1" customWidth="1"/>
    <col min="3" max="3" width="4.6640625" style="1" customWidth="1"/>
    <col min="4" max="4" width="17.33203125" style="52" customWidth="1"/>
    <col min="5" max="5" width="2.6640625" style="1" customWidth="1"/>
    <col min="6" max="6" width="7.5" style="1" bestFit="1" customWidth="1"/>
    <col min="7" max="7" width="6.1640625" style="1" bestFit="1" customWidth="1"/>
    <col min="8" max="8" width="13.33203125" style="52" customWidth="1"/>
    <col min="9" max="10" width="6.33203125" style="1" bestFit="1" customWidth="1"/>
    <col min="11" max="11" width="23.6640625" style="49" customWidth="1"/>
    <col min="12" max="12" width="2.6640625" style="46" customWidth="1"/>
    <col min="13" max="13" width="8.1640625" style="46" customWidth="1"/>
    <col min="14" max="14" width="2.6640625" style="1" customWidth="1"/>
    <col min="15" max="15" width="11.5" style="1" customWidth="1"/>
    <col min="16" max="16" width="2.6640625" style="1" customWidth="1"/>
    <col min="17" max="16384" width="10.83203125" style="1"/>
  </cols>
  <sheetData>
    <row r="1" spans="1:17" ht="16" customHeight="1" x14ac:dyDescent="0.2">
      <c r="A1" s="1" t="s">
        <v>7</v>
      </c>
      <c r="C1" s="1" t="s">
        <v>0</v>
      </c>
      <c r="D1" s="51" t="s">
        <v>1</v>
      </c>
      <c r="F1" s="1" t="s">
        <v>8</v>
      </c>
      <c r="G1" s="1" t="s">
        <v>7</v>
      </c>
      <c r="H1" s="1" t="s">
        <v>2</v>
      </c>
      <c r="I1" s="1" t="s">
        <v>3</v>
      </c>
      <c r="J1" s="1" t="s">
        <v>4</v>
      </c>
      <c r="K1" s="50" t="s">
        <v>5</v>
      </c>
      <c r="L1" s="45"/>
      <c r="M1" s="45" t="s">
        <v>7</v>
      </c>
      <c r="O1" s="1" t="str">
        <f>H1</f>
        <v>product</v>
      </c>
      <c r="Q1" s="1" t="s">
        <v>8</v>
      </c>
    </row>
    <row r="2" spans="1:17" ht="16" customHeight="1" x14ac:dyDescent="0.2">
      <c r="A2" s="1">
        <v>15</v>
      </c>
      <c r="C2" s="1">
        <v>7</v>
      </c>
      <c r="D2" s="52" t="s">
        <v>32</v>
      </c>
      <c r="F2" s="1">
        <v>1</v>
      </c>
      <c r="G2" s="1">
        <v>2</v>
      </c>
      <c r="H2" s="52" t="s">
        <v>46</v>
      </c>
      <c r="I2" s="1">
        <v>20</v>
      </c>
      <c r="J2" s="1">
        <v>50</v>
      </c>
      <c r="K2" s="49" t="s">
        <v>14</v>
      </c>
      <c r="M2" s="45">
        <v>3</v>
      </c>
      <c r="O2" s="52" t="s">
        <v>28</v>
      </c>
      <c r="Q2" s="1">
        <v>9</v>
      </c>
    </row>
    <row r="3" spans="1:17" ht="16" customHeight="1" x14ac:dyDescent="0.2">
      <c r="C3" s="1">
        <v>14</v>
      </c>
      <c r="D3" s="52" t="s">
        <v>64</v>
      </c>
      <c r="F3" s="1">
        <v>2</v>
      </c>
      <c r="G3" s="1">
        <v>5</v>
      </c>
      <c r="H3" s="52" t="s">
        <v>13</v>
      </c>
      <c r="I3" s="1">
        <v>1000</v>
      </c>
      <c r="J3" s="1">
        <v>2000</v>
      </c>
      <c r="K3" s="49" t="s">
        <v>15</v>
      </c>
      <c r="O3" s="52" t="s">
        <v>26</v>
      </c>
    </row>
    <row r="4" spans="1:17" ht="16" customHeight="1" x14ac:dyDescent="0.2">
      <c r="A4" s="1" t="s">
        <v>8</v>
      </c>
      <c r="C4" s="1">
        <v>5</v>
      </c>
      <c r="D4" s="52" t="s">
        <v>9</v>
      </c>
      <c r="F4" s="1">
        <v>3</v>
      </c>
      <c r="G4" s="1">
        <v>1</v>
      </c>
      <c r="H4" s="52" t="s">
        <v>16</v>
      </c>
      <c r="I4" s="1">
        <v>500</v>
      </c>
      <c r="J4" s="1">
        <v>1000</v>
      </c>
      <c r="K4" s="49" t="s">
        <v>17</v>
      </c>
      <c r="O4"/>
    </row>
    <row r="5" spans="1:17" ht="16" customHeight="1" x14ac:dyDescent="0.2">
      <c r="A5" s="1">
        <v>28</v>
      </c>
      <c r="C5" s="1">
        <v>10</v>
      </c>
      <c r="D5" s="52" t="s">
        <v>53</v>
      </c>
      <c r="F5" s="1">
        <v>6</v>
      </c>
      <c r="G5" s="1">
        <v>5</v>
      </c>
      <c r="H5" s="52" t="s">
        <v>39</v>
      </c>
      <c r="I5" s="1">
        <v>4000</v>
      </c>
      <c r="J5" s="1">
        <v>7800</v>
      </c>
      <c r="K5" s="49" t="s">
        <v>18</v>
      </c>
      <c r="O5"/>
    </row>
    <row r="6" spans="1:17" ht="16" customHeight="1" x14ac:dyDescent="0.2">
      <c r="C6" s="1">
        <v>2</v>
      </c>
      <c r="D6" s="52" t="s">
        <v>10</v>
      </c>
      <c r="F6" s="1">
        <v>7</v>
      </c>
      <c r="G6" s="1">
        <v>2</v>
      </c>
      <c r="H6" s="52" t="s">
        <v>31</v>
      </c>
      <c r="I6" s="1">
        <v>17</v>
      </c>
      <c r="J6" s="1">
        <v>32.5</v>
      </c>
      <c r="K6" s="49" t="s">
        <v>19</v>
      </c>
      <c r="O6"/>
    </row>
    <row r="7" spans="1:17" ht="16" customHeight="1" x14ac:dyDescent="0.2">
      <c r="C7" s="1">
        <v>3</v>
      </c>
      <c r="D7" s="52" t="s">
        <v>11</v>
      </c>
      <c r="F7" s="1">
        <v>8</v>
      </c>
      <c r="G7" s="1">
        <v>3</v>
      </c>
      <c r="H7" s="52" t="s">
        <v>28</v>
      </c>
      <c r="I7" s="1">
        <v>15</v>
      </c>
      <c r="J7" s="1">
        <v>20</v>
      </c>
      <c r="K7" s="49" t="s">
        <v>20</v>
      </c>
      <c r="O7"/>
    </row>
    <row r="8" spans="1:17" ht="16" customHeight="1" x14ac:dyDescent="0.2">
      <c r="C8" s="1">
        <v>4</v>
      </c>
      <c r="D8" s="52" t="s">
        <v>65</v>
      </c>
      <c r="F8" s="1">
        <v>9</v>
      </c>
      <c r="G8" s="1">
        <v>3</v>
      </c>
      <c r="H8" s="52" t="s">
        <v>26</v>
      </c>
      <c r="I8" s="1">
        <v>18</v>
      </c>
      <c r="J8" s="1">
        <v>25</v>
      </c>
      <c r="K8" s="49" t="s">
        <v>21</v>
      </c>
    </row>
    <row r="9" spans="1:17" ht="16" customHeight="1" x14ac:dyDescent="0.2">
      <c r="C9" s="1">
        <v>8</v>
      </c>
      <c r="D9" s="52" t="s">
        <v>33</v>
      </c>
      <c r="F9" s="1">
        <v>10</v>
      </c>
      <c r="G9" s="1">
        <v>1</v>
      </c>
      <c r="H9" s="52" t="s">
        <v>22</v>
      </c>
      <c r="I9" s="1">
        <v>340</v>
      </c>
      <c r="J9" s="1">
        <v>458</v>
      </c>
      <c r="K9" s="49" t="s">
        <v>23</v>
      </c>
    </row>
    <row r="10" spans="1:17" ht="16" customHeight="1" x14ac:dyDescent="0.2">
      <c r="C10" s="1">
        <v>11</v>
      </c>
      <c r="D10" s="52" t="s">
        <v>44</v>
      </c>
      <c r="F10" s="1">
        <v>11</v>
      </c>
      <c r="G10" s="1">
        <v>1</v>
      </c>
      <c r="H10" s="52" t="s">
        <v>24</v>
      </c>
      <c r="I10" s="1">
        <v>135</v>
      </c>
      <c r="J10" s="1">
        <v>199</v>
      </c>
      <c r="K10" s="49" t="s">
        <v>25</v>
      </c>
    </row>
    <row r="11" spans="1:17" ht="16" customHeight="1" x14ac:dyDescent="0.2">
      <c r="C11" s="1">
        <v>9</v>
      </c>
      <c r="D11" s="52" t="s">
        <v>34</v>
      </c>
      <c r="F11" s="1">
        <v>12</v>
      </c>
      <c r="G11" s="1">
        <v>1</v>
      </c>
      <c r="H11" s="52" t="s">
        <v>29</v>
      </c>
      <c r="I11" s="1">
        <v>300</v>
      </c>
      <c r="J11" s="1">
        <v>500</v>
      </c>
      <c r="K11" s="49" t="s">
        <v>30</v>
      </c>
    </row>
    <row r="12" spans="1:17" ht="16" customHeight="1" x14ac:dyDescent="0.2">
      <c r="C12" s="1">
        <v>6</v>
      </c>
      <c r="D12" s="52" t="s">
        <v>63</v>
      </c>
      <c r="F12" s="1">
        <v>14</v>
      </c>
      <c r="G12" s="1">
        <v>8</v>
      </c>
      <c r="H12" s="52" t="s">
        <v>35</v>
      </c>
      <c r="I12" s="1">
        <v>800</v>
      </c>
      <c r="J12" s="1">
        <v>1500</v>
      </c>
      <c r="K12" s="49" t="s">
        <v>36</v>
      </c>
    </row>
    <row r="13" spans="1:17" ht="16" customHeight="1" x14ac:dyDescent="0.2">
      <c r="C13" s="1">
        <v>1</v>
      </c>
      <c r="D13" s="52" t="s">
        <v>12</v>
      </c>
      <c r="F13" s="1">
        <v>15</v>
      </c>
      <c r="G13" s="1">
        <v>6</v>
      </c>
      <c r="H13" s="52" t="s">
        <v>37</v>
      </c>
      <c r="I13" s="1">
        <v>100</v>
      </c>
      <c r="J13" s="1">
        <v>199</v>
      </c>
      <c r="K13" s="49" t="s">
        <v>38</v>
      </c>
    </row>
    <row r="14" spans="1:17" ht="16" customHeight="1" x14ac:dyDescent="0.2">
      <c r="F14" s="1">
        <v>17</v>
      </c>
      <c r="G14" s="1">
        <v>5</v>
      </c>
      <c r="H14" s="52" t="s">
        <v>40</v>
      </c>
      <c r="I14" s="1">
        <v>9000</v>
      </c>
      <c r="J14" s="1">
        <v>11000</v>
      </c>
      <c r="K14" s="49" t="s">
        <v>50</v>
      </c>
    </row>
    <row r="15" spans="1:17" ht="16" customHeight="1" x14ac:dyDescent="0.2">
      <c r="F15" s="1">
        <v>18</v>
      </c>
      <c r="G15" s="1">
        <v>1</v>
      </c>
      <c r="H15" s="52" t="s">
        <v>41</v>
      </c>
      <c r="I15" s="1">
        <v>1900</v>
      </c>
      <c r="J15" s="1">
        <v>2500</v>
      </c>
    </row>
    <row r="16" spans="1:17" ht="16" customHeight="1" x14ac:dyDescent="0.2">
      <c r="F16" s="1">
        <v>19</v>
      </c>
      <c r="G16" s="1">
        <v>9</v>
      </c>
      <c r="H16" s="52" t="s">
        <v>42</v>
      </c>
      <c r="I16" s="1">
        <v>5</v>
      </c>
      <c r="J16" s="1">
        <v>15</v>
      </c>
      <c r="K16" s="49" t="s">
        <v>43</v>
      </c>
    </row>
    <row r="17" spans="6:11" ht="16" customHeight="1" x14ac:dyDescent="0.2">
      <c r="F17" s="1">
        <v>20</v>
      </c>
      <c r="G17" s="1">
        <v>6</v>
      </c>
      <c r="H17" s="52" t="s">
        <v>45</v>
      </c>
      <c r="I17" s="1">
        <v>1200</v>
      </c>
      <c r="J17" s="1">
        <v>1500</v>
      </c>
      <c r="K17" s="49" t="s">
        <v>47</v>
      </c>
    </row>
    <row r="18" spans="6:11" ht="16" customHeight="1" x14ac:dyDescent="0.2">
      <c r="F18" s="1">
        <v>21</v>
      </c>
      <c r="G18" s="1">
        <v>10</v>
      </c>
      <c r="H18" s="52" t="s">
        <v>48</v>
      </c>
      <c r="I18" s="1">
        <v>200</v>
      </c>
      <c r="J18" s="1">
        <v>250</v>
      </c>
      <c r="K18" s="49" t="s">
        <v>49</v>
      </c>
    </row>
    <row r="19" spans="6:11" ht="16" customHeight="1" x14ac:dyDescent="0.2">
      <c r="F19" s="1">
        <v>22</v>
      </c>
      <c r="G19" s="1">
        <v>5</v>
      </c>
      <c r="H19" s="52" t="s">
        <v>51</v>
      </c>
      <c r="I19" s="1">
        <v>14100</v>
      </c>
      <c r="J19" s="1">
        <v>17150</v>
      </c>
      <c r="K19" s="49" t="s">
        <v>52</v>
      </c>
    </row>
    <row r="20" spans="6:11" ht="16" customHeight="1" x14ac:dyDescent="0.2">
      <c r="F20" s="1">
        <v>23</v>
      </c>
      <c r="G20" s="1">
        <v>6</v>
      </c>
      <c r="H20" s="52" t="s">
        <v>54</v>
      </c>
      <c r="I20" s="1">
        <v>1000</v>
      </c>
      <c r="J20" s="1">
        <v>1230</v>
      </c>
      <c r="K20" s="49" t="s">
        <v>55</v>
      </c>
    </row>
    <row r="21" spans="6:11" ht="16" customHeight="1" x14ac:dyDescent="0.2">
      <c r="F21" s="1">
        <v>24</v>
      </c>
      <c r="G21" s="1">
        <v>2</v>
      </c>
      <c r="H21" s="52" t="s">
        <v>57</v>
      </c>
      <c r="I21" s="1">
        <v>12</v>
      </c>
      <c r="J21" s="1">
        <v>22</v>
      </c>
      <c r="K21" s="49" t="s">
        <v>56</v>
      </c>
    </row>
    <row r="22" spans="6:11" ht="16" customHeight="1" x14ac:dyDescent="0.2">
      <c r="F22" s="1">
        <v>25</v>
      </c>
      <c r="G22" s="1">
        <v>11</v>
      </c>
      <c r="H22" s="52" t="s">
        <v>60</v>
      </c>
      <c r="I22" s="1">
        <v>22</v>
      </c>
      <c r="J22" s="1">
        <v>29</v>
      </c>
      <c r="K22" s="49" t="s">
        <v>61</v>
      </c>
    </row>
    <row r="23" spans="6:11" ht="16" customHeight="1" x14ac:dyDescent="0.2">
      <c r="F23" s="1">
        <v>26</v>
      </c>
      <c r="G23" s="1">
        <v>1</v>
      </c>
      <c r="H23" s="52" t="s">
        <v>58</v>
      </c>
      <c r="I23" s="1">
        <v>24</v>
      </c>
      <c r="J23" s="1">
        <v>31</v>
      </c>
      <c r="K23" s="49" t="s">
        <v>59</v>
      </c>
    </row>
    <row r="24" spans="6:11" ht="16" customHeight="1" x14ac:dyDescent="0.2">
      <c r="F24" s="1">
        <v>27</v>
      </c>
      <c r="G24" s="1">
        <v>5</v>
      </c>
      <c r="H24" s="52" t="s">
        <v>62</v>
      </c>
      <c r="I24" s="1">
        <v>7000</v>
      </c>
      <c r="J24" s="1">
        <v>9200</v>
      </c>
      <c r="K24" s="49" t="s">
        <v>27</v>
      </c>
    </row>
  </sheetData>
  <sheetProtection selectLockedCells="1" selectUnlockedCells="1"/>
  <sortState xmlns:xlrd2="http://schemas.microsoft.com/office/spreadsheetml/2017/richdata2" ref="O2:O3">
    <sortCondition ref="O1:O3"/>
  </sortState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Home</vt:lpstr>
      <vt:lpstr>CAT_COUNT_ID</vt:lpstr>
      <vt:lpstr>CAT_DB</vt:lpstr>
      <vt:lpstr>CAT_DB_HEAD</vt:lpstr>
      <vt:lpstr>CAT_DB_START</vt:lpstr>
      <vt:lpstr>'Delete Category'!CAT_DELETE</vt:lpstr>
      <vt:lpstr>CAT_EDIT_NEW</vt:lpstr>
      <vt:lpstr>'Edit Category'!CAT_EDIT_OLD</vt:lpstr>
      <vt:lpstr>CAT_IDS</vt:lpstr>
      <vt:lpstr>CAT_NEW</vt:lpstr>
      <vt:lpstr>CATS</vt:lpstr>
      <vt:lpstr>Aux!Criteria</vt:lpstr>
      <vt:lpstr>Aux!Extract</vt:lpstr>
      <vt:lpstr>PROD_COUNT_ID</vt:lpstr>
      <vt:lpstr>PROD_DB</vt:lpstr>
      <vt:lpstr>PROD_DB_HEAD</vt:lpstr>
      <vt:lpstr>PROD_DB_START</vt:lpstr>
      <vt:lpstr>PROD_DELETE_CAT</vt:lpstr>
      <vt:lpstr>PROD_DELETE_NAME</vt:lpstr>
      <vt:lpstr>PROD_EDIT_CAT</vt:lpstr>
      <vt:lpstr>PROD_EDIT_CURRENT</vt:lpstr>
      <vt:lpstr>PROD_EDIT_CURRENT_COST</vt:lpstr>
      <vt:lpstr>PROD_EDIT_CURRENT_DES</vt:lpstr>
      <vt:lpstr>PROD_EDIT_CURRENT_PRICE</vt:lpstr>
      <vt:lpstr>PROD_EDIT_INFO</vt:lpstr>
      <vt:lpstr>PROD_EDIT_NAME</vt:lpstr>
      <vt:lpstr>PROD_EDIT_NEW</vt:lpstr>
      <vt:lpstr>PROD_EDIT_NEW_CAT</vt:lpstr>
      <vt:lpstr>PROD_EDIT_NEW_NAME</vt:lpstr>
      <vt:lpstr>PROD_IDS</vt:lpstr>
      <vt:lpstr>PROD_NEW_CAT</vt:lpstr>
      <vt:lpstr>PROD_NEW_INFO</vt:lpstr>
      <vt:lpstr>PROD_NEW_INPUTS</vt:lpstr>
      <vt:lpstr>PROD_NEW_NAME</vt:lpstr>
      <vt:lpstr>PROD_SELECTED_ID</vt:lpstr>
      <vt:lpstr>PRODS</vt:lpstr>
      <vt:lpstr>PRODS_CRIT</vt:lpstr>
      <vt:lpstr>PRODS_CRIT_CAT</vt:lpstr>
      <vt:lpstr>PRODS_FILTERED</vt:lpstr>
      <vt:lpstr>PRODS_PASTE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Angel Martinez Rodriguez</cp:lastModifiedBy>
  <dcterms:created xsi:type="dcterms:W3CDTF">2022-07-10T20:41:41Z</dcterms:created>
  <dcterms:modified xsi:type="dcterms:W3CDTF">2022-12-17T23:36:29Z</dcterms:modified>
</cp:coreProperties>
</file>